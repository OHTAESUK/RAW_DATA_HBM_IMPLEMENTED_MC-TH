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esukOh\Desktop\KAIST\RESEARCH_MONTE_CARLO\10_IMC_RESEARCH-추가연구\04_HBM_TH_COUPLING (RE)\0403_계산결과들\21_APR1400_ITER05\"/>
    </mc:Choice>
  </mc:AlternateContent>
  <xr:revisionPtr revIDLastSave="0" documentId="13_ncr:1_{C18F1013-4C3D-4C65-93CF-42ABA8B6E1EA}" xr6:coauthVersionLast="47" xr6:coauthVersionMax="47" xr10:uidLastSave="{00000000-0000-0000-0000-000000000000}"/>
  <bookViews>
    <workbookView xWindow="-120" yWindow="-120" windowWidth="29040" windowHeight="15720" xr2:uid="{E82761A0-D3C5-4631-8173-35E26C9BFF5F}"/>
  </bookViews>
  <sheets>
    <sheet name="Sheet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8" i="2" l="1"/>
  <c r="U8" i="2" s="1"/>
  <c r="T7" i="2"/>
  <c r="U7" i="2" s="1"/>
  <c r="T6" i="2"/>
  <c r="U6" i="2" s="1"/>
  <c r="T5" i="2"/>
  <c r="U5" i="2" s="1"/>
  <c r="T4" i="2"/>
  <c r="U4" i="2" s="1"/>
</calcChain>
</file>

<file path=xl/sharedStrings.xml><?xml version="1.0" encoding="utf-8"?>
<sst xmlns="http://schemas.openxmlformats.org/spreadsheetml/2006/main" count="14" uniqueCount="10">
  <si>
    <t>Cycle</t>
    <phoneticPr fontId="1" type="noConversion"/>
  </si>
  <si>
    <t>ITER1</t>
    <phoneticPr fontId="1" type="noConversion"/>
  </si>
  <si>
    <t>ITER2</t>
    <phoneticPr fontId="1" type="noConversion"/>
  </si>
  <si>
    <t>ITER5</t>
  </si>
  <si>
    <t>#ITER</t>
    <phoneticPr fontId="1" type="noConversion"/>
  </si>
  <si>
    <t>keff</t>
    <phoneticPr fontId="1" type="noConversion"/>
  </si>
  <si>
    <t>+/-</t>
  </si>
  <si>
    <t>비활성주기</t>
    <phoneticPr fontId="1" type="noConversion"/>
  </si>
  <si>
    <t>활성주기</t>
    <phoneticPr fontId="1" type="noConversion"/>
  </si>
  <si>
    <t>입자수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</si>
</sst>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00_);[Red]\(0.00000\)"/>
    <numFmt numFmtId="178" formatCode="0.0_);[Red]\(0.0\)"/>
    <numFmt numFmtId="179" formatCode="0.0E+00"/>
    <numFmt numFmtId="180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68569149614312"/>
          <c:y val="4.8022195301330811E-2"/>
          <c:w val="0.78964643630416043"/>
          <c:h val="0.7358286567471552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ITER1</c:v>
                </c:pt>
              </c:strCache>
            </c:strRef>
          </c:tx>
          <c:spPr>
            <a:ln w="12700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>
                  <a:alpha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Sheet1!$C$4:$C$53</c:f>
              <c:numCache>
                <c:formatCode>0.000_);[Red]\(0.000\)</c:formatCode>
                <c:ptCount val="50"/>
                <c:pt idx="0">
                  <c:v>18.635259999999999</c:v>
                </c:pt>
                <c:pt idx="1">
                  <c:v>18.43525</c:v>
                </c:pt>
                <c:pt idx="2">
                  <c:v>18.426079999999999</c:v>
                </c:pt>
                <c:pt idx="3">
                  <c:v>18.351520000000001</c:v>
                </c:pt>
                <c:pt idx="4">
                  <c:v>18.339189999999999</c:v>
                </c:pt>
                <c:pt idx="5">
                  <c:v>18.322240000000001</c:v>
                </c:pt>
                <c:pt idx="6">
                  <c:v>18.312580000000001</c:v>
                </c:pt>
                <c:pt idx="7">
                  <c:v>18.310739999999999</c:v>
                </c:pt>
                <c:pt idx="8">
                  <c:v>18.306190000000001</c:v>
                </c:pt>
                <c:pt idx="9">
                  <c:v>18.307269999999999</c:v>
                </c:pt>
                <c:pt idx="10">
                  <c:v>18.30735</c:v>
                </c:pt>
                <c:pt idx="11">
                  <c:v>18.30284</c:v>
                </c:pt>
                <c:pt idx="12">
                  <c:v>18.301639999999999</c:v>
                </c:pt>
                <c:pt idx="13">
                  <c:v>18.300049999999999</c:v>
                </c:pt>
                <c:pt idx="14">
                  <c:v>18.30012</c:v>
                </c:pt>
                <c:pt idx="15">
                  <c:v>18.302409999999998</c:v>
                </c:pt>
                <c:pt idx="16">
                  <c:v>18.300139999999999</c:v>
                </c:pt>
                <c:pt idx="17">
                  <c:v>18.299900000000001</c:v>
                </c:pt>
                <c:pt idx="18">
                  <c:v>18.299990000000001</c:v>
                </c:pt>
                <c:pt idx="19">
                  <c:v>18.300979999999999</c:v>
                </c:pt>
                <c:pt idx="20">
                  <c:v>18.305890000000002</c:v>
                </c:pt>
                <c:pt idx="21">
                  <c:v>18.305309999999999</c:v>
                </c:pt>
                <c:pt idx="22">
                  <c:v>18.303740000000001</c:v>
                </c:pt>
                <c:pt idx="23">
                  <c:v>18.299669999999999</c:v>
                </c:pt>
                <c:pt idx="24">
                  <c:v>18.300740000000001</c:v>
                </c:pt>
                <c:pt idx="25">
                  <c:v>18.302820000000001</c:v>
                </c:pt>
                <c:pt idx="26">
                  <c:v>18.30433</c:v>
                </c:pt>
                <c:pt idx="27">
                  <c:v>18.30498</c:v>
                </c:pt>
                <c:pt idx="28">
                  <c:v>18.304320000000001</c:v>
                </c:pt>
                <c:pt idx="29">
                  <c:v>18.306270000000001</c:v>
                </c:pt>
                <c:pt idx="30">
                  <c:v>18.30547</c:v>
                </c:pt>
                <c:pt idx="31">
                  <c:v>18.30444</c:v>
                </c:pt>
                <c:pt idx="32">
                  <c:v>18.305959999999999</c:v>
                </c:pt>
                <c:pt idx="33">
                  <c:v>18.303840000000001</c:v>
                </c:pt>
                <c:pt idx="34">
                  <c:v>18.3048</c:v>
                </c:pt>
                <c:pt idx="35">
                  <c:v>18.304870000000001</c:v>
                </c:pt>
                <c:pt idx="36">
                  <c:v>18.305499999999999</c:v>
                </c:pt>
                <c:pt idx="37">
                  <c:v>18.306979999999999</c:v>
                </c:pt>
                <c:pt idx="38">
                  <c:v>18.303940000000001</c:v>
                </c:pt>
                <c:pt idx="39">
                  <c:v>18.304379999999998</c:v>
                </c:pt>
                <c:pt idx="40">
                  <c:v>18.305040000000002</c:v>
                </c:pt>
                <c:pt idx="41">
                  <c:v>18.304549999999999</c:v>
                </c:pt>
                <c:pt idx="42">
                  <c:v>18.302900000000001</c:v>
                </c:pt>
                <c:pt idx="43">
                  <c:v>18.30348</c:v>
                </c:pt>
                <c:pt idx="44">
                  <c:v>18.305289999999999</c:v>
                </c:pt>
                <c:pt idx="45">
                  <c:v>18.30462</c:v>
                </c:pt>
                <c:pt idx="46">
                  <c:v>18.30518</c:v>
                </c:pt>
                <c:pt idx="47">
                  <c:v>18.30508</c:v>
                </c:pt>
                <c:pt idx="48">
                  <c:v>18.305330000000001</c:v>
                </c:pt>
                <c:pt idx="49">
                  <c:v>18.30274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D9-4044-A89D-57B87F1CA563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ITER2</c:v>
                </c:pt>
              </c:strCache>
            </c:strRef>
          </c:tx>
          <c:spPr>
            <a:ln w="12700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alpha val="50000"/>
                </a:schemeClr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Sheet1!$D$4:$D$53</c:f>
              <c:numCache>
                <c:formatCode>0.000_);[Red]\(0.000\)</c:formatCode>
                <c:ptCount val="50"/>
                <c:pt idx="0">
                  <c:v>18.299980000000001</c:v>
                </c:pt>
                <c:pt idx="1">
                  <c:v>18.301010000000002</c:v>
                </c:pt>
                <c:pt idx="2">
                  <c:v>18.301850000000002</c:v>
                </c:pt>
                <c:pt idx="3">
                  <c:v>18.30256</c:v>
                </c:pt>
                <c:pt idx="4">
                  <c:v>18.307549999999999</c:v>
                </c:pt>
                <c:pt idx="5">
                  <c:v>18.304400000000001</c:v>
                </c:pt>
                <c:pt idx="6">
                  <c:v>18.309419999999999</c:v>
                </c:pt>
                <c:pt idx="7">
                  <c:v>18.311109999999999</c:v>
                </c:pt>
                <c:pt idx="8">
                  <c:v>18.313199999999998</c:v>
                </c:pt>
                <c:pt idx="9">
                  <c:v>18.314309999999999</c:v>
                </c:pt>
                <c:pt idx="10">
                  <c:v>18.314620000000001</c:v>
                </c:pt>
                <c:pt idx="11">
                  <c:v>18.309909999999999</c:v>
                </c:pt>
                <c:pt idx="12">
                  <c:v>18.313980000000001</c:v>
                </c:pt>
                <c:pt idx="13">
                  <c:v>18.31138</c:v>
                </c:pt>
                <c:pt idx="14">
                  <c:v>18.31399</c:v>
                </c:pt>
                <c:pt idx="15">
                  <c:v>18.312449999999998</c:v>
                </c:pt>
                <c:pt idx="16">
                  <c:v>18.313220000000001</c:v>
                </c:pt>
                <c:pt idx="17">
                  <c:v>18.31241</c:v>
                </c:pt>
                <c:pt idx="18">
                  <c:v>18.31419</c:v>
                </c:pt>
                <c:pt idx="19">
                  <c:v>18.313739999999999</c:v>
                </c:pt>
                <c:pt idx="20">
                  <c:v>18.313749999999999</c:v>
                </c:pt>
                <c:pt idx="21">
                  <c:v>18.31587</c:v>
                </c:pt>
                <c:pt idx="22">
                  <c:v>18.3156</c:v>
                </c:pt>
                <c:pt idx="23">
                  <c:v>18.31193</c:v>
                </c:pt>
                <c:pt idx="24">
                  <c:v>18.310420000000001</c:v>
                </c:pt>
                <c:pt idx="25">
                  <c:v>18.313140000000001</c:v>
                </c:pt>
                <c:pt idx="26">
                  <c:v>18.31465</c:v>
                </c:pt>
                <c:pt idx="27">
                  <c:v>18.31587</c:v>
                </c:pt>
                <c:pt idx="28">
                  <c:v>18.317139999999998</c:v>
                </c:pt>
                <c:pt idx="29">
                  <c:v>18.316130000000001</c:v>
                </c:pt>
                <c:pt idx="30">
                  <c:v>18.314489999999999</c:v>
                </c:pt>
                <c:pt idx="31">
                  <c:v>18.314609999999998</c:v>
                </c:pt>
                <c:pt idx="32">
                  <c:v>18.31448</c:v>
                </c:pt>
                <c:pt idx="33">
                  <c:v>18.31588</c:v>
                </c:pt>
                <c:pt idx="34">
                  <c:v>18.318210000000001</c:v>
                </c:pt>
                <c:pt idx="35">
                  <c:v>18.31474</c:v>
                </c:pt>
                <c:pt idx="36">
                  <c:v>18.315580000000001</c:v>
                </c:pt>
                <c:pt idx="37">
                  <c:v>18.317260000000001</c:v>
                </c:pt>
                <c:pt idx="38">
                  <c:v>18.317160000000001</c:v>
                </c:pt>
                <c:pt idx="39">
                  <c:v>18.316590000000001</c:v>
                </c:pt>
                <c:pt idx="40">
                  <c:v>18.314509999999999</c:v>
                </c:pt>
                <c:pt idx="41">
                  <c:v>18.313410000000001</c:v>
                </c:pt>
                <c:pt idx="42">
                  <c:v>18.315449999999998</c:v>
                </c:pt>
                <c:pt idx="43">
                  <c:v>18.316220000000001</c:v>
                </c:pt>
                <c:pt idx="44">
                  <c:v>18.315850000000001</c:v>
                </c:pt>
                <c:pt idx="45">
                  <c:v>18.31587</c:v>
                </c:pt>
                <c:pt idx="46">
                  <c:v>18.316299999999998</c:v>
                </c:pt>
                <c:pt idx="47">
                  <c:v>18.313749999999999</c:v>
                </c:pt>
                <c:pt idx="48">
                  <c:v>18.312460000000002</c:v>
                </c:pt>
                <c:pt idx="49">
                  <c:v>18.31579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D9-4044-A89D-57B87F1CA563}"/>
            </c:ext>
          </c:extLst>
        </c:ser>
        <c:ser>
          <c:idx val="2"/>
          <c:order val="2"/>
          <c:tx>
            <c:strRef>
              <c:f>Sheet1!$E$3</c:f>
              <c:strCache>
                <c:ptCount val="1"/>
                <c:pt idx="0">
                  <c:v>ITER5</c:v>
                </c:pt>
              </c:strCache>
            </c:strRef>
          </c:tx>
          <c:spPr>
            <a:ln w="12700" cap="rnd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>
                  <a:alpha val="50000"/>
                </a:schemeClr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Sheet1!$B$4:$B$53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Sheet1!$E$4:$E$53</c:f>
              <c:numCache>
                <c:formatCode>0.000_);[Red]\(0.000\)</c:formatCode>
                <c:ptCount val="50"/>
                <c:pt idx="0">
                  <c:v>18.311109999999999</c:v>
                </c:pt>
                <c:pt idx="1">
                  <c:v>18.31166</c:v>
                </c:pt>
                <c:pt idx="2">
                  <c:v>18.31465</c:v>
                </c:pt>
                <c:pt idx="3">
                  <c:v>18.309989999999999</c:v>
                </c:pt>
                <c:pt idx="4">
                  <c:v>18.310479999999998</c:v>
                </c:pt>
                <c:pt idx="5">
                  <c:v>18.305969999999999</c:v>
                </c:pt>
                <c:pt idx="6">
                  <c:v>18.304580000000001</c:v>
                </c:pt>
                <c:pt idx="7">
                  <c:v>18.309640000000002</c:v>
                </c:pt>
                <c:pt idx="8">
                  <c:v>18.309899999999999</c:v>
                </c:pt>
                <c:pt idx="9">
                  <c:v>18.30828</c:v>
                </c:pt>
                <c:pt idx="10">
                  <c:v>18.303809999999999</c:v>
                </c:pt>
                <c:pt idx="11">
                  <c:v>18.305710000000001</c:v>
                </c:pt>
                <c:pt idx="12">
                  <c:v>18.310580000000002</c:v>
                </c:pt>
                <c:pt idx="13">
                  <c:v>18.309259999999998</c:v>
                </c:pt>
                <c:pt idx="14">
                  <c:v>18.31033</c:v>
                </c:pt>
                <c:pt idx="15">
                  <c:v>18.309190000000001</c:v>
                </c:pt>
                <c:pt idx="16">
                  <c:v>18.306090000000001</c:v>
                </c:pt>
                <c:pt idx="17">
                  <c:v>18.30735</c:v>
                </c:pt>
                <c:pt idx="18">
                  <c:v>18.307980000000001</c:v>
                </c:pt>
                <c:pt idx="19">
                  <c:v>18.310030000000001</c:v>
                </c:pt>
                <c:pt idx="20">
                  <c:v>18.306989999999999</c:v>
                </c:pt>
                <c:pt idx="21">
                  <c:v>18.312619999999999</c:v>
                </c:pt>
                <c:pt idx="22">
                  <c:v>18.312349999999999</c:v>
                </c:pt>
                <c:pt idx="23">
                  <c:v>18.31052</c:v>
                </c:pt>
                <c:pt idx="24">
                  <c:v>18.317</c:v>
                </c:pt>
                <c:pt idx="25">
                  <c:v>18.315719999999999</c:v>
                </c:pt>
                <c:pt idx="26">
                  <c:v>18.31785</c:v>
                </c:pt>
                <c:pt idx="27">
                  <c:v>18.316990000000001</c:v>
                </c:pt>
                <c:pt idx="28">
                  <c:v>18.31887</c:v>
                </c:pt>
                <c:pt idx="29">
                  <c:v>18.315719999999999</c:v>
                </c:pt>
                <c:pt idx="30">
                  <c:v>18.316459999999999</c:v>
                </c:pt>
                <c:pt idx="31">
                  <c:v>18.315670000000001</c:v>
                </c:pt>
                <c:pt idx="32">
                  <c:v>18.314830000000001</c:v>
                </c:pt>
                <c:pt idx="33">
                  <c:v>18.315439999999999</c:v>
                </c:pt>
                <c:pt idx="34">
                  <c:v>18.317060000000001</c:v>
                </c:pt>
                <c:pt idx="35">
                  <c:v>18.318639999999998</c:v>
                </c:pt>
                <c:pt idx="36">
                  <c:v>18.315449999999998</c:v>
                </c:pt>
                <c:pt idx="37">
                  <c:v>18.317589999999999</c:v>
                </c:pt>
                <c:pt idx="38">
                  <c:v>18.316690000000001</c:v>
                </c:pt>
                <c:pt idx="39">
                  <c:v>18.315290000000001</c:v>
                </c:pt>
                <c:pt idx="40">
                  <c:v>18.317049999999998</c:v>
                </c:pt>
                <c:pt idx="41">
                  <c:v>18.31606</c:v>
                </c:pt>
                <c:pt idx="42">
                  <c:v>18.317240000000002</c:v>
                </c:pt>
                <c:pt idx="43">
                  <c:v>18.314789999999999</c:v>
                </c:pt>
                <c:pt idx="44">
                  <c:v>18.314229999999998</c:v>
                </c:pt>
                <c:pt idx="45">
                  <c:v>18.315069999999999</c:v>
                </c:pt>
                <c:pt idx="46">
                  <c:v>18.31466</c:v>
                </c:pt>
                <c:pt idx="47">
                  <c:v>18.31598</c:v>
                </c:pt>
                <c:pt idx="48">
                  <c:v>18.314800000000002</c:v>
                </c:pt>
                <c:pt idx="49">
                  <c:v>18.316500000000001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D9-4044-A89D-57B87F1C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4788888"/>
        <c:axId val="654792496"/>
      </c:scatterChart>
      <c:valAx>
        <c:axId val="65478888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Cycle</a:t>
                </a:r>
                <a:r>
                  <a:rPr lang="en-US" altLang="ko-KR" sz="11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</a:t>
                </a:r>
                <a:endParaRPr lang="en-US" altLang="ko-KR" sz="11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654792496"/>
        <c:crosses val="autoZero"/>
        <c:crossBetween val="midCat"/>
      </c:valAx>
      <c:valAx>
        <c:axId val="6547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Entropy [-]</a:t>
                </a:r>
              </a:p>
            </c:rich>
          </c:tx>
          <c:layout>
            <c:manualLayout>
              <c:xMode val="edge"/>
              <c:yMode val="edge"/>
              <c:x val="2.9440548928318943E-2"/>
              <c:y val="0.293953755237068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65478888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60059882853698"/>
          <c:y val="5.9364316150068548E-2"/>
          <c:w val="0.20806243346231337"/>
          <c:h val="0.16278248382723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keff</c:v>
                </c:pt>
              </c:strCache>
            </c:strRef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Sheet1!$U$4:$U$14</c:f>
                <c:numCache>
                  <c:formatCode>General</c:formatCode>
                  <c:ptCount val="11"/>
                  <c:pt idx="0">
                    <c:v>1.2799999999999999E-4</c:v>
                  </c:pt>
                  <c:pt idx="1">
                    <c:v>1.2460000000000002E-4</c:v>
                  </c:pt>
                  <c:pt idx="2">
                    <c:v>1.2746E-4</c:v>
                  </c:pt>
                  <c:pt idx="3">
                    <c:v>1.182E-4</c:v>
                  </c:pt>
                  <c:pt idx="4">
                    <c:v>1.3471999999999998E-4</c:v>
                  </c:pt>
                </c:numCache>
              </c:numRef>
            </c:plus>
            <c:minus>
              <c:numRef>
                <c:f>Sheet1!$U$4:$U$14</c:f>
                <c:numCache>
                  <c:formatCode>General</c:formatCode>
                  <c:ptCount val="11"/>
                  <c:pt idx="0">
                    <c:v>1.2799999999999999E-4</c:v>
                  </c:pt>
                  <c:pt idx="1">
                    <c:v>1.2460000000000002E-4</c:v>
                  </c:pt>
                  <c:pt idx="2">
                    <c:v>1.2746E-4</c:v>
                  </c:pt>
                  <c:pt idx="3">
                    <c:v>1.182E-4</c:v>
                  </c:pt>
                  <c:pt idx="4">
                    <c:v>1.3471999999999998E-4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xVal>
            <c:numRef>
              <c:f>Sheet1!$P$4:$P$14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Sheet1!$Q$4:$Q$14</c:f>
              <c:numCache>
                <c:formatCode>0.00000_);[Red]\(0.00000\)</c:formatCode>
                <c:ptCount val="11"/>
                <c:pt idx="0">
                  <c:v>1.1641550000000001</c:v>
                </c:pt>
                <c:pt idx="1">
                  <c:v>1.1630990000000001</c:v>
                </c:pt>
                <c:pt idx="2">
                  <c:v>1.163108</c:v>
                </c:pt>
                <c:pt idx="3">
                  <c:v>1.1630320000000001</c:v>
                </c:pt>
                <c:pt idx="4">
                  <c:v>1.162984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2-495A-A554-7F545E18B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31928"/>
        <c:axId val="707028648"/>
      </c:scatterChart>
      <c:valAx>
        <c:axId val="707031928"/>
        <c:scaling>
          <c:orientation val="minMax"/>
          <c:max val="5.01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Picard Iteration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707028648"/>
        <c:crosses val="autoZero"/>
        <c:crossBetween val="midCat"/>
        <c:majorUnit val="1"/>
      </c:valAx>
      <c:valAx>
        <c:axId val="707028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ko-KR" sz="11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Multiplication Factor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ko-KR"/>
            </a:p>
          </c:txPr>
        </c:title>
        <c:numFmt formatCode="#,##0.000_);[Red]\(#,##0.00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707031928"/>
        <c:crosses val="autoZero"/>
        <c:crossBetween val="midCat"/>
        <c:majorUnit val="1.0000000000000002E-3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376250</xdr:colOff>
      <xdr:row>2</xdr:row>
      <xdr:rowOff>196346</xdr:rowOff>
    </xdr:from>
    <xdr:to>
      <xdr:col>13</xdr:col>
      <xdr:colOff>351402</xdr:colOff>
      <xdr:row>17</xdr:row>
      <xdr:rowOff>20756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3692DB4-39F9-401B-9936-15B691396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194140</xdr:colOff>
      <xdr:row>2</xdr:row>
      <xdr:rowOff>55187</xdr:rowOff>
    </xdr:from>
    <xdr:to>
      <xdr:col>28</xdr:col>
      <xdr:colOff>336176</xdr:colOff>
      <xdr:row>16</xdr:row>
      <xdr:rowOff>98051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C5E79FA-CCF2-407B-B34F-DE4F56ED5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esukOh\Desktop\KAIST\RESEARCH_MONTE_CARLO\10_IMC_RESEARCH-&#52628;&#44032;&#50672;&#44396;\04_HBM_TH_COUPLING%20(RE)\0403_&#44228;&#49328;&#44208;&#44284;&#46308;\12_NEA_3by3_ITER05\NEA_3by3_BATCH_KEFF.xlsx" TargetMode="External"/><Relationship Id="rId1" Type="http://schemas.openxmlformats.org/officeDocument/2006/relationships/externalLinkPath" Target="/Users/TaesukOh/Desktop/KAIST/RESEARCH_MONTE_CARLO/10_IMC_RESEARCH-&#52628;&#44032;&#50672;&#44396;/04_HBM_TH_COUPLING%20(RE)/0403_&#44228;&#49328;&#44208;&#44284;&#46308;/12_NEA_3by3_ITER05/NEA_3by3_BATCH_KEF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>
        <row r="3">
          <cell r="C3" t="str">
            <v>ITER1</v>
          </cell>
          <cell r="D3" t="str">
            <v>ITER2</v>
          </cell>
          <cell r="E3" t="str">
            <v>ITER5</v>
          </cell>
          <cell r="F3" t="str">
            <v>ITER10</v>
          </cell>
          <cell r="Q3" t="str">
            <v>keff</v>
          </cell>
        </row>
        <row r="4">
          <cell r="B4">
            <v>1</v>
          </cell>
          <cell r="C4">
            <v>15.629110000000001</v>
          </cell>
          <cell r="D4">
            <v>15.28894</v>
          </cell>
          <cell r="E4">
            <v>15.32892</v>
          </cell>
          <cell r="F4">
            <v>15.326230000000001</v>
          </cell>
          <cell r="P4">
            <v>1</v>
          </cell>
          <cell r="Q4">
            <v>1.2319169999999999</v>
          </cell>
          <cell r="U4">
            <v>1.3113999999999999E-4</v>
          </cell>
        </row>
        <row r="5">
          <cell r="B5">
            <v>2</v>
          </cell>
          <cell r="C5">
            <v>15.479089999999999</v>
          </cell>
          <cell r="D5">
            <v>15.29053</v>
          </cell>
          <cell r="E5">
            <v>15.32818</v>
          </cell>
          <cell r="F5">
            <v>15.325620000000001</v>
          </cell>
          <cell r="P5">
            <v>2</v>
          </cell>
          <cell r="Q5">
            <v>1.2277089999999999</v>
          </cell>
          <cell r="U5">
            <v>1.2909999999999999E-4</v>
          </cell>
        </row>
        <row r="6">
          <cell r="B6">
            <v>3</v>
          </cell>
          <cell r="C6">
            <v>15.43543</v>
          </cell>
          <cell r="D6">
            <v>15.299910000000001</v>
          </cell>
          <cell r="E6">
            <v>15.33234</v>
          </cell>
          <cell r="F6">
            <v>15.32372</v>
          </cell>
          <cell r="P6">
            <v>3</v>
          </cell>
          <cell r="Q6">
            <v>1.2283120000000001</v>
          </cell>
          <cell r="U6">
            <v>1.4103999999999999E-4</v>
          </cell>
        </row>
        <row r="7">
          <cell r="B7">
            <v>4</v>
          </cell>
          <cell r="C7">
            <v>15.396319999999999</v>
          </cell>
          <cell r="D7">
            <v>15.30447</v>
          </cell>
          <cell r="E7">
            <v>15.33428</v>
          </cell>
          <cell r="F7">
            <v>15.324909999999999</v>
          </cell>
          <cell r="P7">
            <v>4</v>
          </cell>
          <cell r="Q7">
            <v>1.2281230000000001</v>
          </cell>
          <cell r="U7">
            <v>1.4226000000000001E-4</v>
          </cell>
        </row>
        <row r="8">
          <cell r="B8">
            <v>5</v>
          </cell>
          <cell r="C8">
            <v>15.370520000000001</v>
          </cell>
          <cell r="D8">
            <v>15.306710000000001</v>
          </cell>
          <cell r="E8">
            <v>15.329800000000001</v>
          </cell>
          <cell r="F8">
            <v>15.32607</v>
          </cell>
          <cell r="P8">
            <v>5</v>
          </cell>
          <cell r="Q8">
            <v>1.2281089999999999</v>
          </cell>
          <cell r="U8">
            <v>1.2506E-4</v>
          </cell>
        </row>
        <row r="9">
          <cell r="B9">
            <v>6</v>
          </cell>
          <cell r="C9">
            <v>15.352790000000001</v>
          </cell>
          <cell r="D9">
            <v>15.31025</v>
          </cell>
          <cell r="E9">
            <v>15.329750000000001</v>
          </cell>
          <cell r="F9">
            <v>15.329090000000001</v>
          </cell>
          <cell r="P9">
            <v>6</v>
          </cell>
          <cell r="Q9">
            <v>1.2282960000000001</v>
          </cell>
          <cell r="U9">
            <v>1.1844E-4</v>
          </cell>
        </row>
        <row r="10">
          <cell r="B10">
            <v>7</v>
          </cell>
          <cell r="C10">
            <v>15.337910000000001</v>
          </cell>
          <cell r="D10">
            <v>15.31752</v>
          </cell>
          <cell r="E10">
            <v>15.324669999999999</v>
          </cell>
          <cell r="F10">
            <v>15.328799999999999</v>
          </cell>
          <cell r="P10">
            <v>7</v>
          </cell>
          <cell r="Q10">
            <v>1.228092</v>
          </cell>
          <cell r="U10">
            <v>1.3173999999999998E-4</v>
          </cell>
        </row>
        <row r="11">
          <cell r="B11">
            <v>8</v>
          </cell>
          <cell r="C11">
            <v>15.323650000000001</v>
          </cell>
          <cell r="D11">
            <v>15.31967</v>
          </cell>
          <cell r="E11">
            <v>15.32269</v>
          </cell>
          <cell r="F11">
            <v>15.328060000000001</v>
          </cell>
          <cell r="P11">
            <v>8</v>
          </cell>
          <cell r="Q11">
            <v>1.2282</v>
          </cell>
          <cell r="U11">
            <v>1.2788E-4</v>
          </cell>
        </row>
        <row r="12">
          <cell r="B12">
            <v>9</v>
          </cell>
          <cell r="C12">
            <v>15.31119</v>
          </cell>
          <cell r="D12">
            <v>15.32302</v>
          </cell>
          <cell r="E12">
            <v>15.318680000000001</v>
          </cell>
          <cell r="F12">
            <v>15.333729999999999</v>
          </cell>
          <cell r="P12">
            <v>9</v>
          </cell>
          <cell r="Q12">
            <v>1.228159</v>
          </cell>
          <cell r="U12">
            <v>1.3516E-4</v>
          </cell>
        </row>
        <row r="13">
          <cell r="B13">
            <v>10</v>
          </cell>
          <cell r="C13">
            <v>15.30728</v>
          </cell>
          <cell r="D13">
            <v>15.327159999999999</v>
          </cell>
          <cell r="E13">
            <v>15.32316</v>
          </cell>
          <cell r="F13">
            <v>15.329470000000001</v>
          </cell>
          <cell r="P13">
            <v>10</v>
          </cell>
          <cell r="Q13">
            <v>1.228253</v>
          </cell>
          <cell r="U13">
            <v>1.2883999999999999E-4</v>
          </cell>
        </row>
        <row r="14">
          <cell r="B14">
            <v>11</v>
          </cell>
          <cell r="C14">
            <v>15.30105</v>
          </cell>
          <cell r="D14">
            <v>15.32629</v>
          </cell>
          <cell r="E14">
            <v>15.32053</v>
          </cell>
          <cell r="F14">
            <v>15.32734</v>
          </cell>
        </row>
        <row r="15">
          <cell r="B15">
            <v>12</v>
          </cell>
          <cell r="C15">
            <v>15.2994</v>
          </cell>
          <cell r="D15">
            <v>15.327590000000001</v>
          </cell>
          <cell r="E15">
            <v>15.31855</v>
          </cell>
          <cell r="F15">
            <v>15.3294</v>
          </cell>
        </row>
        <row r="16">
          <cell r="B16">
            <v>13</v>
          </cell>
          <cell r="C16">
            <v>15.297639999999999</v>
          </cell>
          <cell r="D16">
            <v>15.33104</v>
          </cell>
          <cell r="E16">
            <v>15.322570000000001</v>
          </cell>
          <cell r="F16">
            <v>15.32578</v>
          </cell>
        </row>
        <row r="17">
          <cell r="B17">
            <v>14</v>
          </cell>
          <cell r="C17">
            <v>15.295870000000001</v>
          </cell>
          <cell r="D17">
            <v>15.33113</v>
          </cell>
          <cell r="E17">
            <v>15.324490000000001</v>
          </cell>
          <cell r="F17">
            <v>15.32732</v>
          </cell>
        </row>
        <row r="18">
          <cell r="B18">
            <v>15</v>
          </cell>
          <cell r="C18">
            <v>15.293559999999999</v>
          </cell>
          <cell r="D18">
            <v>15.33121</v>
          </cell>
          <cell r="E18">
            <v>15.326420000000001</v>
          </cell>
          <cell r="F18">
            <v>15.32653</v>
          </cell>
        </row>
        <row r="19">
          <cell r="B19">
            <v>16</v>
          </cell>
          <cell r="C19">
            <v>15.28912</v>
          </cell>
          <cell r="D19">
            <v>15.32755</v>
          </cell>
          <cell r="E19">
            <v>15.32708</v>
          </cell>
          <cell r="F19">
            <v>15.327640000000001</v>
          </cell>
        </row>
        <row r="20">
          <cell r="B20">
            <v>17</v>
          </cell>
          <cell r="C20">
            <v>15.287470000000001</v>
          </cell>
          <cell r="D20">
            <v>15.32719</v>
          </cell>
          <cell r="E20">
            <v>15.326000000000001</v>
          </cell>
          <cell r="F20">
            <v>15.325989999999999</v>
          </cell>
        </row>
        <row r="21">
          <cell r="B21">
            <v>18</v>
          </cell>
          <cell r="C21">
            <v>15.287039999999999</v>
          </cell>
          <cell r="D21">
            <v>15.326890000000001</v>
          </cell>
          <cell r="E21">
            <v>15.32963</v>
          </cell>
          <cell r="F21">
            <v>15.32695</v>
          </cell>
        </row>
        <row r="22">
          <cell r="B22">
            <v>19</v>
          </cell>
          <cell r="C22">
            <v>15.29266</v>
          </cell>
          <cell r="D22">
            <v>15.327859999999999</v>
          </cell>
          <cell r="E22">
            <v>15.328250000000001</v>
          </cell>
          <cell r="F22">
            <v>15.3232</v>
          </cell>
        </row>
        <row r="23">
          <cell r="B23">
            <v>20</v>
          </cell>
          <cell r="C23">
            <v>15.290979999999999</v>
          </cell>
          <cell r="D23">
            <v>15.33019</v>
          </cell>
          <cell r="E23">
            <v>15.329230000000001</v>
          </cell>
          <cell r="F23">
            <v>15.32394</v>
          </cell>
        </row>
        <row r="24">
          <cell r="B24">
            <v>21</v>
          </cell>
          <cell r="C24">
            <v>15.287430000000001</v>
          </cell>
          <cell r="D24">
            <v>15.33239</v>
          </cell>
          <cell r="E24">
            <v>15.3277</v>
          </cell>
          <cell r="F24">
            <v>15.32536</v>
          </cell>
        </row>
        <row r="25">
          <cell r="B25">
            <v>22</v>
          </cell>
          <cell r="C25">
            <v>15.286479999999999</v>
          </cell>
          <cell r="D25">
            <v>15.333170000000001</v>
          </cell>
          <cell r="E25">
            <v>15.32954</v>
          </cell>
          <cell r="F25">
            <v>15.323589999999999</v>
          </cell>
        </row>
        <row r="26">
          <cell r="B26">
            <v>23</v>
          </cell>
          <cell r="C26">
            <v>15.28187</v>
          </cell>
          <cell r="D26">
            <v>15.331759999999999</v>
          </cell>
          <cell r="E26">
            <v>15.32715</v>
          </cell>
          <cell r="F26">
            <v>15.324619999999999</v>
          </cell>
        </row>
        <row r="27">
          <cell r="B27">
            <v>24</v>
          </cell>
          <cell r="C27">
            <v>15.28567</v>
          </cell>
          <cell r="D27">
            <v>15.326280000000001</v>
          </cell>
          <cell r="E27">
            <v>15.3268</v>
          </cell>
          <cell r="F27">
            <v>15.320510000000001</v>
          </cell>
        </row>
        <row r="28">
          <cell r="B28">
            <v>25</v>
          </cell>
          <cell r="C28">
            <v>15.287269999999999</v>
          </cell>
          <cell r="D28">
            <v>15.32795</v>
          </cell>
          <cell r="E28">
            <v>15.3293</v>
          </cell>
          <cell r="F28">
            <v>15.323650000000001</v>
          </cell>
        </row>
        <row r="29">
          <cell r="B29">
            <v>26</v>
          </cell>
          <cell r="C29">
            <v>15.285489999999999</v>
          </cell>
          <cell r="D29">
            <v>15.330500000000001</v>
          </cell>
          <cell r="E29">
            <v>15.32849</v>
          </cell>
          <cell r="F29">
            <v>15.3231</v>
          </cell>
        </row>
        <row r="30">
          <cell r="B30">
            <v>27</v>
          </cell>
          <cell r="C30">
            <v>15.2864</v>
          </cell>
          <cell r="D30">
            <v>15.33198</v>
          </cell>
          <cell r="E30">
            <v>15.3284</v>
          </cell>
          <cell r="F30">
            <v>15.32263</v>
          </cell>
        </row>
        <row r="31">
          <cell r="B31">
            <v>28</v>
          </cell>
          <cell r="C31">
            <v>15.285550000000001</v>
          </cell>
          <cell r="D31">
            <v>15.332560000000001</v>
          </cell>
          <cell r="E31">
            <v>15.32896</v>
          </cell>
          <cell r="F31">
            <v>15.32363</v>
          </cell>
        </row>
        <row r="32">
          <cell r="B32">
            <v>29</v>
          </cell>
          <cell r="C32">
            <v>15.28586</v>
          </cell>
          <cell r="D32">
            <v>15.33278</v>
          </cell>
          <cell r="E32">
            <v>15.328580000000001</v>
          </cell>
          <cell r="F32">
            <v>15.323829999999999</v>
          </cell>
        </row>
        <row r="33">
          <cell r="B33">
            <v>30</v>
          </cell>
          <cell r="C33">
            <v>15.286250000000001</v>
          </cell>
          <cell r="D33">
            <v>15.333489999999999</v>
          </cell>
          <cell r="E33">
            <v>15.328519999999999</v>
          </cell>
          <cell r="F33">
            <v>15.32485</v>
          </cell>
        </row>
        <row r="34">
          <cell r="B34">
            <v>31</v>
          </cell>
          <cell r="C34">
            <v>15.285819999999999</v>
          </cell>
          <cell r="D34">
            <v>15.334289999999999</v>
          </cell>
          <cell r="E34">
            <v>15.327629999999999</v>
          </cell>
          <cell r="F34">
            <v>15.32471</v>
          </cell>
        </row>
        <row r="35">
          <cell r="B35">
            <v>32</v>
          </cell>
          <cell r="C35">
            <v>15.28542</v>
          </cell>
          <cell r="D35">
            <v>15.333819999999999</v>
          </cell>
          <cell r="E35">
            <v>15.32748</v>
          </cell>
          <cell r="F35">
            <v>15.32545</v>
          </cell>
        </row>
        <row r="36">
          <cell r="B36">
            <v>33</v>
          </cell>
          <cell r="C36">
            <v>15.28468</v>
          </cell>
          <cell r="D36">
            <v>15.33385</v>
          </cell>
          <cell r="E36">
            <v>15.32687</v>
          </cell>
          <cell r="F36">
            <v>15.32607</v>
          </cell>
        </row>
        <row r="37">
          <cell r="B37">
            <v>34</v>
          </cell>
          <cell r="C37">
            <v>15.283910000000001</v>
          </cell>
          <cell r="D37">
            <v>15.333819999999999</v>
          </cell>
          <cell r="E37">
            <v>15.326560000000001</v>
          </cell>
          <cell r="F37">
            <v>15.325430000000001</v>
          </cell>
        </row>
        <row r="38">
          <cell r="B38">
            <v>35</v>
          </cell>
          <cell r="C38">
            <v>15.284649999999999</v>
          </cell>
          <cell r="D38">
            <v>15.332610000000001</v>
          </cell>
          <cell r="E38">
            <v>15.32667</v>
          </cell>
          <cell r="F38">
            <v>15.32586</v>
          </cell>
        </row>
        <row r="39">
          <cell r="B39">
            <v>36</v>
          </cell>
          <cell r="C39">
            <v>15.28398</v>
          </cell>
          <cell r="D39">
            <v>15.334020000000001</v>
          </cell>
          <cell r="E39">
            <v>15.32685</v>
          </cell>
          <cell r="F39">
            <v>15.32512</v>
          </cell>
        </row>
        <row r="40">
          <cell r="B40">
            <v>37</v>
          </cell>
          <cell r="C40">
            <v>15.28449</v>
          </cell>
          <cell r="D40">
            <v>15.333930000000001</v>
          </cell>
          <cell r="E40">
            <v>15.3269</v>
          </cell>
          <cell r="F40">
            <v>15.325229999999999</v>
          </cell>
        </row>
        <row r="41">
          <cell r="B41">
            <v>38</v>
          </cell>
          <cell r="C41">
            <v>15.28497</v>
          </cell>
          <cell r="D41">
            <v>15.332710000000001</v>
          </cell>
          <cell r="E41">
            <v>15.32668</v>
          </cell>
          <cell r="F41">
            <v>15.326320000000001</v>
          </cell>
        </row>
        <row r="42">
          <cell r="B42">
            <v>39</v>
          </cell>
          <cell r="C42">
            <v>15.28458</v>
          </cell>
          <cell r="D42">
            <v>15.333270000000001</v>
          </cell>
          <cell r="E42">
            <v>15.32666</v>
          </cell>
          <cell r="F42">
            <v>15.32751</v>
          </cell>
        </row>
        <row r="43">
          <cell r="B43">
            <v>40</v>
          </cell>
          <cell r="C43">
            <v>15.284929999999999</v>
          </cell>
          <cell r="D43">
            <v>15.33353</v>
          </cell>
          <cell r="E43">
            <v>15.32728</v>
          </cell>
          <cell r="F43">
            <v>15.326610000000001</v>
          </cell>
        </row>
        <row r="44">
          <cell r="B44">
            <v>41</v>
          </cell>
          <cell r="C44">
            <v>15.28402</v>
          </cell>
          <cell r="D44">
            <v>15.333880000000001</v>
          </cell>
          <cell r="E44">
            <v>15.326930000000001</v>
          </cell>
          <cell r="F44">
            <v>15.32591</v>
          </cell>
        </row>
        <row r="45">
          <cell r="B45">
            <v>42</v>
          </cell>
          <cell r="C45">
            <v>15.28412</v>
          </cell>
          <cell r="D45">
            <v>15.333080000000001</v>
          </cell>
          <cell r="E45">
            <v>15.32694</v>
          </cell>
          <cell r="F45">
            <v>15.32615</v>
          </cell>
        </row>
        <row r="46">
          <cell r="B46">
            <v>43</v>
          </cell>
          <cell r="C46">
            <v>15.28342</v>
          </cell>
          <cell r="D46">
            <v>15.333360000000001</v>
          </cell>
          <cell r="E46">
            <v>15.326280000000001</v>
          </cell>
          <cell r="F46">
            <v>15.32593</v>
          </cell>
        </row>
        <row r="47">
          <cell r="B47">
            <v>44</v>
          </cell>
          <cell r="C47">
            <v>15.283329999999999</v>
          </cell>
          <cell r="D47">
            <v>15.334020000000001</v>
          </cell>
          <cell r="E47">
            <v>15.32558</v>
          </cell>
          <cell r="F47">
            <v>15.32536</v>
          </cell>
        </row>
        <row r="48">
          <cell r="B48">
            <v>45</v>
          </cell>
          <cell r="C48">
            <v>15.28354</v>
          </cell>
          <cell r="D48">
            <v>15.33371</v>
          </cell>
          <cell r="E48">
            <v>15.32611</v>
          </cell>
          <cell r="F48">
            <v>15.32635</v>
          </cell>
        </row>
        <row r="49">
          <cell r="B49">
            <v>46</v>
          </cell>
          <cell r="C49">
            <v>15.2845</v>
          </cell>
          <cell r="D49">
            <v>15.333869999999999</v>
          </cell>
          <cell r="E49">
            <v>15.32685</v>
          </cell>
          <cell r="F49">
            <v>15.32573</v>
          </cell>
        </row>
        <row r="50">
          <cell r="B50">
            <v>47</v>
          </cell>
          <cell r="C50">
            <v>15.284219999999999</v>
          </cell>
          <cell r="D50">
            <v>15.334390000000001</v>
          </cell>
          <cell r="E50">
            <v>15.3262</v>
          </cell>
          <cell r="F50">
            <v>15.32648</v>
          </cell>
        </row>
        <row r="51">
          <cell r="B51">
            <v>48</v>
          </cell>
          <cell r="C51">
            <v>15.284879999999999</v>
          </cell>
          <cell r="D51">
            <v>15.33498</v>
          </cell>
          <cell r="E51">
            <v>15.32685</v>
          </cell>
          <cell r="F51">
            <v>15.32727</v>
          </cell>
        </row>
        <row r="52">
          <cell r="B52">
            <v>49</v>
          </cell>
          <cell r="C52">
            <v>15.28453</v>
          </cell>
          <cell r="D52">
            <v>15.33563</v>
          </cell>
          <cell r="E52">
            <v>15.325749999999999</v>
          </cell>
          <cell r="F52">
            <v>15.326930000000001</v>
          </cell>
        </row>
        <row r="53">
          <cell r="B53">
            <v>50</v>
          </cell>
          <cell r="C53">
            <v>15.285019999999999</v>
          </cell>
          <cell r="D53">
            <v>15.33569</v>
          </cell>
          <cell r="E53">
            <v>15.32644</v>
          </cell>
          <cell r="F53">
            <v>15.32747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B7EC1-3C6C-4E59-B8ED-F9BA2994436A}">
  <dimension ref="B2:AP56"/>
  <sheetViews>
    <sheetView tabSelected="1" topLeftCell="G1" zoomScale="115" zoomScaleNormal="115" workbookViewId="0">
      <selection activeCell="AD6" sqref="AD6"/>
    </sheetView>
  </sheetViews>
  <sheetFormatPr defaultRowHeight="16.5" x14ac:dyDescent="0.3"/>
  <cols>
    <col min="15" max="15" width="5.375" customWidth="1"/>
    <col min="16" max="16" width="10" bestFit="1" customWidth="1"/>
    <col min="24" max="24" width="7.375" customWidth="1"/>
    <col min="26" max="26" width="7.625" customWidth="1"/>
  </cols>
  <sheetData>
    <row r="2" spans="2:42" x14ac:dyDescent="0.3">
      <c r="AK2" s="1"/>
    </row>
    <row r="3" spans="2:42" x14ac:dyDescent="0.3">
      <c r="B3" t="s">
        <v>0</v>
      </c>
      <c r="C3" t="s">
        <v>1</v>
      </c>
      <c r="D3" t="s">
        <v>2</v>
      </c>
      <c r="E3" t="s">
        <v>3</v>
      </c>
      <c r="P3" t="s">
        <v>4</v>
      </c>
      <c r="Q3" t="s">
        <v>5</v>
      </c>
    </row>
    <row r="4" spans="2:42" x14ac:dyDescent="0.3">
      <c r="B4">
        <v>1</v>
      </c>
      <c r="C4" s="2">
        <v>18.635259999999999</v>
      </c>
      <c r="D4" s="2">
        <v>18.299980000000001</v>
      </c>
      <c r="E4" s="2">
        <v>18.311109999999999</v>
      </c>
      <c r="F4" s="2"/>
      <c r="G4" s="2"/>
      <c r="P4">
        <v>1</v>
      </c>
      <c r="Q4" s="3">
        <v>1.1641550000000001</v>
      </c>
      <c r="R4" t="s">
        <v>6</v>
      </c>
      <c r="S4" s="4">
        <v>6.4</v>
      </c>
      <c r="T4" s="5">
        <f>S4/100000</f>
        <v>6.3999999999999997E-5</v>
      </c>
      <c r="U4" s="5">
        <f>T4*2</f>
        <v>1.2799999999999999E-4</v>
      </c>
      <c r="AF4" s="3"/>
      <c r="AH4" s="4"/>
      <c r="AK4" s="3"/>
      <c r="AM4" s="3"/>
      <c r="AO4" s="4"/>
      <c r="AP4" s="4"/>
    </row>
    <row r="5" spans="2:42" x14ac:dyDescent="0.3">
      <c r="B5">
        <v>2</v>
      </c>
      <c r="C5" s="2">
        <v>18.43525</v>
      </c>
      <c r="D5" s="2">
        <v>18.301010000000002</v>
      </c>
      <c r="E5" s="2">
        <v>18.31166</v>
      </c>
      <c r="F5" s="2"/>
      <c r="G5" s="2"/>
      <c r="P5">
        <v>2</v>
      </c>
      <c r="Q5" s="3">
        <v>1.1630990000000001</v>
      </c>
      <c r="R5" t="s">
        <v>6</v>
      </c>
      <c r="S5" s="4">
        <v>6.23</v>
      </c>
      <c r="T5" s="5">
        <f t="shared" ref="T5:T13" si="0">S5/100000</f>
        <v>6.230000000000001E-5</v>
      </c>
      <c r="U5" s="5">
        <f t="shared" ref="U5:U13" si="1">T5*2</f>
        <v>1.2460000000000002E-4</v>
      </c>
      <c r="AF5" s="3"/>
      <c r="AH5" s="4"/>
      <c r="AK5" s="4"/>
      <c r="AM5" s="3"/>
      <c r="AO5" s="4"/>
      <c r="AP5" s="4"/>
    </row>
    <row r="6" spans="2:42" x14ac:dyDescent="0.3">
      <c r="B6">
        <v>3</v>
      </c>
      <c r="C6" s="2">
        <v>18.426079999999999</v>
      </c>
      <c r="D6" s="2">
        <v>18.301850000000002</v>
      </c>
      <c r="E6" s="2">
        <v>18.31465</v>
      </c>
      <c r="F6" s="2"/>
      <c r="G6" s="2"/>
      <c r="P6">
        <v>3</v>
      </c>
      <c r="Q6" s="3">
        <v>1.163108</v>
      </c>
      <c r="R6" t="s">
        <v>6</v>
      </c>
      <c r="S6" s="4">
        <v>6.3730000000000002</v>
      </c>
      <c r="T6" s="5">
        <f t="shared" si="0"/>
        <v>6.3730000000000001E-5</v>
      </c>
      <c r="U6" s="5">
        <f t="shared" si="1"/>
        <v>1.2746E-4</v>
      </c>
      <c r="AF6" s="3"/>
      <c r="AH6" s="4"/>
      <c r="AK6" s="4"/>
      <c r="AM6" s="3"/>
      <c r="AO6" s="4"/>
      <c r="AP6" s="4"/>
    </row>
    <row r="7" spans="2:42" x14ac:dyDescent="0.3">
      <c r="B7">
        <v>4</v>
      </c>
      <c r="C7" s="2">
        <v>18.351520000000001</v>
      </c>
      <c r="D7" s="2">
        <v>18.30256</v>
      </c>
      <c r="E7" s="2">
        <v>18.309989999999999</v>
      </c>
      <c r="F7" s="2"/>
      <c r="G7" s="2"/>
      <c r="P7">
        <v>4</v>
      </c>
      <c r="Q7" s="3">
        <v>1.1630320000000001</v>
      </c>
      <c r="R7" t="s">
        <v>6</v>
      </c>
      <c r="S7" s="4">
        <v>5.91</v>
      </c>
      <c r="T7" s="5">
        <f t="shared" si="0"/>
        <v>5.91E-5</v>
      </c>
      <c r="U7" s="5">
        <f t="shared" si="1"/>
        <v>1.182E-4</v>
      </c>
      <c r="AF7" s="3"/>
      <c r="AH7" s="4"/>
      <c r="AM7" s="3"/>
      <c r="AO7" s="4"/>
      <c r="AP7" s="4"/>
    </row>
    <row r="8" spans="2:42" x14ac:dyDescent="0.3">
      <c r="B8">
        <v>5</v>
      </c>
      <c r="C8" s="2">
        <v>18.339189999999999</v>
      </c>
      <c r="D8" s="2">
        <v>18.307549999999999</v>
      </c>
      <c r="E8" s="2">
        <v>18.310479999999998</v>
      </c>
      <c r="F8" s="2"/>
      <c r="G8" s="2"/>
      <c r="P8">
        <v>5</v>
      </c>
      <c r="Q8" s="3">
        <v>1.162984</v>
      </c>
      <c r="R8" t="s">
        <v>6</v>
      </c>
      <c r="S8" s="4">
        <v>6.7359999999999998</v>
      </c>
      <c r="T8" s="5">
        <f t="shared" si="0"/>
        <v>6.7359999999999992E-5</v>
      </c>
      <c r="U8" s="5">
        <f t="shared" si="1"/>
        <v>1.3471999999999998E-4</v>
      </c>
      <c r="AF8" s="3"/>
      <c r="AH8" s="4"/>
      <c r="AM8" s="3"/>
      <c r="AO8" s="4"/>
      <c r="AP8" s="4"/>
    </row>
    <row r="9" spans="2:42" x14ac:dyDescent="0.3">
      <c r="B9">
        <v>6</v>
      </c>
      <c r="C9" s="2">
        <v>18.322240000000001</v>
      </c>
      <c r="D9" s="2">
        <v>18.304400000000001</v>
      </c>
      <c r="E9" s="2">
        <v>18.305969999999999</v>
      </c>
      <c r="F9" s="2"/>
      <c r="G9" s="2"/>
      <c r="Q9" s="3"/>
      <c r="S9" s="4"/>
      <c r="T9" s="5"/>
      <c r="U9" s="5"/>
      <c r="AF9" s="3"/>
      <c r="AH9" s="4"/>
      <c r="AM9" s="3"/>
      <c r="AO9" s="4"/>
      <c r="AP9" s="4"/>
    </row>
    <row r="10" spans="2:42" x14ac:dyDescent="0.3">
      <c r="B10">
        <v>7</v>
      </c>
      <c r="C10" s="2">
        <v>18.312580000000001</v>
      </c>
      <c r="D10" s="2">
        <v>18.309419999999999</v>
      </c>
      <c r="E10" s="2">
        <v>18.304580000000001</v>
      </c>
      <c r="F10" s="2"/>
      <c r="G10" s="2"/>
      <c r="Q10" s="3"/>
      <c r="S10" s="4"/>
      <c r="T10" s="5"/>
      <c r="U10" s="5"/>
      <c r="AF10" s="3"/>
      <c r="AH10" s="4"/>
      <c r="AM10" s="3"/>
      <c r="AO10" s="4"/>
      <c r="AP10" s="4"/>
    </row>
    <row r="11" spans="2:42" x14ac:dyDescent="0.3">
      <c r="B11">
        <v>8</v>
      </c>
      <c r="C11" s="2">
        <v>18.310739999999999</v>
      </c>
      <c r="D11" s="2">
        <v>18.311109999999999</v>
      </c>
      <c r="E11" s="2">
        <v>18.309640000000002</v>
      </c>
      <c r="F11" s="2"/>
      <c r="G11" s="2"/>
      <c r="Q11" s="3"/>
      <c r="S11" s="4"/>
      <c r="T11" s="5"/>
      <c r="U11" s="5"/>
      <c r="AF11" s="3"/>
      <c r="AH11" s="4"/>
      <c r="AM11" s="3"/>
      <c r="AO11" s="4"/>
      <c r="AP11" s="4"/>
    </row>
    <row r="12" spans="2:42" x14ac:dyDescent="0.3">
      <c r="B12">
        <v>9</v>
      </c>
      <c r="C12" s="2">
        <v>18.306190000000001</v>
      </c>
      <c r="D12" s="2">
        <v>18.313199999999998</v>
      </c>
      <c r="E12" s="2">
        <v>18.309899999999999</v>
      </c>
      <c r="F12" s="2"/>
      <c r="G12" s="2"/>
      <c r="Q12" s="3"/>
      <c r="S12" s="4"/>
      <c r="T12" s="5"/>
      <c r="U12" s="5"/>
      <c r="AF12" s="3"/>
      <c r="AH12" s="4"/>
      <c r="AM12" s="3"/>
      <c r="AO12" s="4"/>
      <c r="AP12" s="4"/>
    </row>
    <row r="13" spans="2:42" x14ac:dyDescent="0.3">
      <c r="B13">
        <v>10</v>
      </c>
      <c r="C13" s="2">
        <v>18.307269999999999</v>
      </c>
      <c r="D13" s="2">
        <v>18.314309999999999</v>
      </c>
      <c r="E13" s="2">
        <v>18.30828</v>
      </c>
      <c r="F13" s="2"/>
      <c r="G13" s="2"/>
      <c r="Q13" s="3"/>
      <c r="S13" s="4"/>
      <c r="T13" s="5"/>
      <c r="U13" s="5"/>
      <c r="AF13" s="3"/>
      <c r="AH13" s="4"/>
      <c r="AM13" s="3"/>
      <c r="AO13" s="4"/>
      <c r="AP13" s="4"/>
    </row>
    <row r="14" spans="2:42" x14ac:dyDescent="0.3">
      <c r="B14">
        <v>11</v>
      </c>
      <c r="C14" s="2">
        <v>18.30735</v>
      </c>
      <c r="D14" s="2">
        <v>18.314620000000001</v>
      </c>
      <c r="E14" s="2">
        <v>18.303809999999999</v>
      </c>
      <c r="F14" s="2"/>
      <c r="G14" s="2"/>
      <c r="Q14" s="3"/>
      <c r="S14" s="4"/>
      <c r="T14" s="5"/>
      <c r="U14" s="5"/>
      <c r="AF14" s="3"/>
      <c r="AH14" s="4"/>
    </row>
    <row r="15" spans="2:42" x14ac:dyDescent="0.3">
      <c r="B15">
        <v>12</v>
      </c>
      <c r="C15" s="2">
        <v>18.30284</v>
      </c>
      <c r="D15" s="2">
        <v>18.309909999999999</v>
      </c>
      <c r="E15" s="2">
        <v>18.305710000000001</v>
      </c>
      <c r="F15" s="2"/>
      <c r="G15" s="2"/>
      <c r="AF15" s="3"/>
      <c r="AH15" s="4"/>
    </row>
    <row r="16" spans="2:42" x14ac:dyDescent="0.3">
      <c r="B16">
        <v>13</v>
      </c>
      <c r="C16" s="2">
        <v>18.301639999999999</v>
      </c>
      <c r="D16" s="2">
        <v>18.313980000000001</v>
      </c>
      <c r="E16" s="2">
        <v>18.310580000000002</v>
      </c>
      <c r="F16" s="2"/>
      <c r="G16" s="2"/>
      <c r="AF16" s="3"/>
      <c r="AH16" s="4"/>
    </row>
    <row r="17" spans="2:34" x14ac:dyDescent="0.3">
      <c r="B17">
        <v>14</v>
      </c>
      <c r="C17" s="2">
        <v>18.300049999999999</v>
      </c>
      <c r="D17" s="2">
        <v>18.31138</v>
      </c>
      <c r="E17" s="2">
        <v>18.309259999999998</v>
      </c>
      <c r="F17" s="2"/>
      <c r="G17" s="2"/>
      <c r="Q17" s="3"/>
      <c r="S17" s="4"/>
      <c r="V17" s="3"/>
      <c r="AF17" s="3"/>
      <c r="AH17" s="4"/>
    </row>
    <row r="18" spans="2:34" x14ac:dyDescent="0.3">
      <c r="B18">
        <v>15</v>
      </c>
      <c r="C18" s="2">
        <v>18.30012</v>
      </c>
      <c r="D18" s="2">
        <v>18.31399</v>
      </c>
      <c r="E18" s="2">
        <v>18.31033</v>
      </c>
      <c r="F18" s="2"/>
      <c r="G18" s="2"/>
      <c r="Q18" s="3"/>
      <c r="S18" s="4"/>
      <c r="V18" s="4"/>
      <c r="X18" s="3"/>
      <c r="Z18" s="4"/>
      <c r="AA18" s="4"/>
      <c r="AF18" s="3"/>
      <c r="AH18" s="4"/>
    </row>
    <row r="19" spans="2:34" x14ac:dyDescent="0.3">
      <c r="B19">
        <v>16</v>
      </c>
      <c r="C19" s="2">
        <v>18.302409999999998</v>
      </c>
      <c r="D19" s="2">
        <v>18.312449999999998</v>
      </c>
      <c r="E19" s="2">
        <v>18.309190000000001</v>
      </c>
      <c r="F19" s="2"/>
      <c r="G19" s="2"/>
      <c r="H19" t="s">
        <v>7</v>
      </c>
      <c r="I19" s="6">
        <v>25</v>
      </c>
      <c r="Q19" s="3"/>
      <c r="S19" s="4"/>
      <c r="V19" s="4"/>
      <c r="X19" s="3"/>
      <c r="Z19" s="4"/>
      <c r="AA19" s="4"/>
      <c r="AF19" s="3"/>
      <c r="AH19" s="4"/>
    </row>
    <row r="20" spans="2:34" x14ac:dyDescent="0.3">
      <c r="B20">
        <v>17</v>
      </c>
      <c r="C20" s="2">
        <v>18.300139999999999</v>
      </c>
      <c r="D20" s="2">
        <v>18.313220000000001</v>
      </c>
      <c r="E20" s="2">
        <v>18.306090000000001</v>
      </c>
      <c r="F20" s="2"/>
      <c r="G20" s="2"/>
      <c r="H20" t="s">
        <v>8</v>
      </c>
      <c r="I20" s="6">
        <v>200</v>
      </c>
      <c r="Q20" s="3"/>
      <c r="S20" s="4"/>
      <c r="X20" s="3"/>
      <c r="Z20" s="4"/>
      <c r="AA20" s="4"/>
      <c r="AF20" s="3"/>
      <c r="AH20" s="4"/>
    </row>
    <row r="21" spans="2:34" x14ac:dyDescent="0.3">
      <c r="B21">
        <v>18</v>
      </c>
      <c r="C21" s="2">
        <v>18.299900000000001</v>
      </c>
      <c r="D21" s="2">
        <v>18.31241</v>
      </c>
      <c r="E21" s="2">
        <v>18.30735</v>
      </c>
      <c r="F21" s="2"/>
      <c r="G21" s="2"/>
      <c r="H21" t="s">
        <v>9</v>
      </c>
      <c r="I21" s="7">
        <v>1000000</v>
      </c>
      <c r="Q21" s="3"/>
      <c r="S21" s="4"/>
      <c r="X21" s="3"/>
      <c r="Z21" s="4"/>
      <c r="AA21" s="4"/>
      <c r="AF21" s="3"/>
      <c r="AH21" s="4"/>
    </row>
    <row r="22" spans="2:34" x14ac:dyDescent="0.3">
      <c r="B22">
        <v>19</v>
      </c>
      <c r="C22" s="2">
        <v>18.299990000000001</v>
      </c>
      <c r="D22" s="2">
        <v>18.31419</v>
      </c>
      <c r="E22" s="2">
        <v>18.307980000000001</v>
      </c>
      <c r="F22" s="2"/>
      <c r="G22" s="2"/>
      <c r="Q22" s="3"/>
      <c r="S22" s="4"/>
      <c r="X22" s="3"/>
      <c r="Z22" s="4"/>
      <c r="AA22" s="4"/>
      <c r="AF22" s="3"/>
      <c r="AH22" s="4"/>
    </row>
    <row r="23" spans="2:34" x14ac:dyDescent="0.3">
      <c r="B23">
        <v>20</v>
      </c>
      <c r="C23" s="2">
        <v>18.300979999999999</v>
      </c>
      <c r="D23" s="2">
        <v>18.313739999999999</v>
      </c>
      <c r="E23" s="2">
        <v>18.310030000000001</v>
      </c>
      <c r="F23" s="2"/>
      <c r="G23" s="2"/>
      <c r="Q23" s="3"/>
      <c r="S23" s="4"/>
      <c r="X23" s="3"/>
      <c r="Z23" s="4"/>
      <c r="AA23" s="4"/>
      <c r="AF23" s="3"/>
      <c r="AH23" s="4"/>
    </row>
    <row r="24" spans="2:34" x14ac:dyDescent="0.3">
      <c r="B24">
        <v>21</v>
      </c>
      <c r="C24" s="2">
        <v>18.305890000000002</v>
      </c>
      <c r="D24" s="2">
        <v>18.313749999999999</v>
      </c>
      <c r="E24" s="2">
        <v>18.306989999999999</v>
      </c>
      <c r="F24" s="2"/>
      <c r="G24" s="2"/>
      <c r="Q24" s="3"/>
      <c r="S24" s="4"/>
      <c r="X24" s="3"/>
      <c r="Z24" s="4"/>
      <c r="AA24" s="4"/>
      <c r="AF24" s="3"/>
      <c r="AH24" s="4"/>
    </row>
    <row r="25" spans="2:34" x14ac:dyDescent="0.3">
      <c r="B25">
        <v>22</v>
      </c>
      <c r="C25" s="2">
        <v>18.305309999999999</v>
      </c>
      <c r="D25" s="2">
        <v>18.31587</v>
      </c>
      <c r="E25" s="2">
        <v>18.312619999999999</v>
      </c>
      <c r="F25" s="2"/>
      <c r="G25" s="2"/>
      <c r="Q25" s="3"/>
      <c r="S25" s="4"/>
      <c r="X25" s="3"/>
      <c r="Z25" s="4"/>
      <c r="AA25" s="4"/>
      <c r="AF25" s="3"/>
      <c r="AH25" s="4"/>
    </row>
    <row r="26" spans="2:34" x14ac:dyDescent="0.3">
      <c r="B26">
        <v>23</v>
      </c>
      <c r="C26" s="2">
        <v>18.303740000000001</v>
      </c>
      <c r="D26" s="2">
        <v>18.3156</v>
      </c>
      <c r="E26" s="2">
        <v>18.312349999999999</v>
      </c>
      <c r="F26" s="2"/>
      <c r="G26" s="2"/>
      <c r="Q26" s="3"/>
      <c r="S26" s="4"/>
      <c r="X26" s="3"/>
      <c r="Z26" s="4"/>
      <c r="AA26" s="4"/>
      <c r="AF26" s="3"/>
      <c r="AH26" s="4"/>
    </row>
    <row r="27" spans="2:34" x14ac:dyDescent="0.3">
      <c r="B27">
        <v>24</v>
      </c>
      <c r="C27" s="2">
        <v>18.299669999999999</v>
      </c>
      <c r="D27" s="2">
        <v>18.31193</v>
      </c>
      <c r="E27" s="2">
        <v>18.31052</v>
      </c>
      <c r="F27" s="2"/>
      <c r="G27" s="2"/>
      <c r="Q27" s="3"/>
      <c r="S27" s="4"/>
      <c r="X27" s="3"/>
      <c r="Z27" s="4"/>
      <c r="AA27" s="4"/>
      <c r="AF27" s="3"/>
      <c r="AH27" s="4"/>
    </row>
    <row r="28" spans="2:34" x14ac:dyDescent="0.3">
      <c r="B28">
        <v>25</v>
      </c>
      <c r="C28" s="2">
        <v>18.300740000000001</v>
      </c>
      <c r="D28" s="2">
        <v>18.310420000000001</v>
      </c>
      <c r="E28" s="2">
        <v>18.317</v>
      </c>
      <c r="F28" s="2"/>
      <c r="G28" s="2"/>
      <c r="Q28" s="3"/>
      <c r="S28" s="4"/>
      <c r="AF28" s="3"/>
      <c r="AH28" s="4"/>
    </row>
    <row r="29" spans="2:34" x14ac:dyDescent="0.3">
      <c r="B29">
        <v>26</v>
      </c>
      <c r="C29" s="2">
        <v>18.302820000000001</v>
      </c>
      <c r="D29" s="2">
        <v>18.313140000000001</v>
      </c>
      <c r="E29" s="2">
        <v>18.315719999999999</v>
      </c>
      <c r="F29" s="2"/>
      <c r="G29" s="2"/>
      <c r="Q29" s="3"/>
      <c r="S29" s="4"/>
      <c r="AF29" s="3"/>
      <c r="AH29" s="4"/>
    </row>
    <row r="30" spans="2:34" x14ac:dyDescent="0.3">
      <c r="B30">
        <v>27</v>
      </c>
      <c r="C30" s="2">
        <v>18.30433</v>
      </c>
      <c r="D30" s="2">
        <v>18.31465</v>
      </c>
      <c r="E30" s="2">
        <v>18.31785</v>
      </c>
      <c r="F30" s="2"/>
      <c r="G30" s="2"/>
      <c r="Q30" s="3"/>
      <c r="S30" s="4"/>
      <c r="AF30" s="3"/>
      <c r="AH30" s="4"/>
    </row>
    <row r="31" spans="2:34" x14ac:dyDescent="0.3">
      <c r="B31">
        <v>28</v>
      </c>
      <c r="C31" s="2">
        <v>18.30498</v>
      </c>
      <c r="D31" s="2">
        <v>18.31587</v>
      </c>
      <c r="E31" s="2">
        <v>18.316990000000001</v>
      </c>
      <c r="F31" s="2"/>
      <c r="G31" s="2"/>
      <c r="Q31" s="3"/>
      <c r="S31" s="4"/>
      <c r="AF31" s="3"/>
      <c r="AH31" s="4"/>
    </row>
    <row r="32" spans="2:34" x14ac:dyDescent="0.3">
      <c r="B32">
        <v>29</v>
      </c>
      <c r="C32" s="2">
        <v>18.304320000000001</v>
      </c>
      <c r="D32" s="2">
        <v>18.317139999999998</v>
      </c>
      <c r="E32" s="2">
        <v>18.31887</v>
      </c>
      <c r="F32" s="2"/>
      <c r="G32" s="2"/>
      <c r="Q32" s="3"/>
      <c r="R32" s="8"/>
      <c r="S32" s="4"/>
      <c r="AF32" s="3"/>
      <c r="AH32" s="4"/>
    </row>
    <row r="33" spans="2:34" x14ac:dyDescent="0.3">
      <c r="B33">
        <v>30</v>
      </c>
      <c r="C33" s="2">
        <v>18.306270000000001</v>
      </c>
      <c r="D33" s="2">
        <v>18.316130000000001</v>
      </c>
      <c r="E33" s="2">
        <v>18.315719999999999</v>
      </c>
      <c r="F33" s="2"/>
      <c r="G33" s="2"/>
      <c r="Q33" s="3"/>
      <c r="S33" s="4"/>
      <c r="AF33" s="3"/>
      <c r="AH33" s="4"/>
    </row>
    <row r="34" spans="2:34" x14ac:dyDescent="0.3">
      <c r="B34">
        <v>31</v>
      </c>
      <c r="C34" s="2">
        <v>18.30547</v>
      </c>
      <c r="D34" s="2">
        <v>18.314489999999999</v>
      </c>
      <c r="E34" s="2">
        <v>18.316459999999999</v>
      </c>
      <c r="F34" s="2"/>
      <c r="G34" s="2"/>
      <c r="Q34" s="3"/>
      <c r="S34" s="4"/>
      <c r="AF34" s="3"/>
      <c r="AH34" s="4"/>
    </row>
    <row r="35" spans="2:34" x14ac:dyDescent="0.3">
      <c r="B35">
        <v>32</v>
      </c>
      <c r="C35" s="2">
        <v>18.30444</v>
      </c>
      <c r="D35" s="2">
        <v>18.314609999999998</v>
      </c>
      <c r="E35" s="2">
        <v>18.315670000000001</v>
      </c>
      <c r="F35" s="2"/>
      <c r="G35" s="2"/>
      <c r="Q35" s="3"/>
      <c r="S35" s="4"/>
      <c r="AF35" s="3"/>
      <c r="AH35" s="4"/>
    </row>
    <row r="36" spans="2:34" x14ac:dyDescent="0.3">
      <c r="B36">
        <v>33</v>
      </c>
      <c r="C36" s="2">
        <v>18.305959999999999</v>
      </c>
      <c r="D36" s="2">
        <v>18.31448</v>
      </c>
      <c r="E36" s="2">
        <v>18.314830000000001</v>
      </c>
      <c r="F36" s="2"/>
      <c r="G36" s="2"/>
      <c r="Q36" s="3"/>
      <c r="S36" s="4"/>
      <c r="AF36" s="3"/>
      <c r="AH36" s="4"/>
    </row>
    <row r="37" spans="2:34" x14ac:dyDescent="0.3">
      <c r="B37">
        <v>34</v>
      </c>
      <c r="C37" s="2">
        <v>18.303840000000001</v>
      </c>
      <c r="D37" s="2">
        <v>18.31588</v>
      </c>
      <c r="E37" s="2">
        <v>18.315439999999999</v>
      </c>
      <c r="F37" s="2"/>
      <c r="G37" s="2"/>
      <c r="Q37" s="3"/>
      <c r="S37" s="4"/>
      <c r="AF37" s="3"/>
      <c r="AH37" s="4"/>
    </row>
    <row r="38" spans="2:34" x14ac:dyDescent="0.3">
      <c r="B38">
        <v>35</v>
      </c>
      <c r="C38" s="2">
        <v>18.3048</v>
      </c>
      <c r="D38" s="2">
        <v>18.318210000000001</v>
      </c>
      <c r="E38" s="2">
        <v>18.317060000000001</v>
      </c>
      <c r="F38" s="2"/>
      <c r="G38" s="2"/>
      <c r="Q38" s="3"/>
      <c r="S38" s="4"/>
      <c r="AF38" s="3"/>
      <c r="AH38" s="4"/>
    </row>
    <row r="39" spans="2:34" x14ac:dyDescent="0.3">
      <c r="B39">
        <v>36</v>
      </c>
      <c r="C39" s="2">
        <v>18.304870000000001</v>
      </c>
      <c r="D39" s="2">
        <v>18.31474</v>
      </c>
      <c r="E39" s="2">
        <v>18.318639999999998</v>
      </c>
      <c r="F39" s="2"/>
      <c r="G39" s="2"/>
      <c r="Q39" s="3"/>
      <c r="S39" s="4"/>
      <c r="AF39" s="3"/>
      <c r="AH39" s="4"/>
    </row>
    <row r="40" spans="2:34" x14ac:dyDescent="0.3">
      <c r="B40">
        <v>37</v>
      </c>
      <c r="C40" s="2">
        <v>18.305499999999999</v>
      </c>
      <c r="D40" s="2">
        <v>18.315580000000001</v>
      </c>
      <c r="E40" s="2">
        <v>18.315449999999998</v>
      </c>
      <c r="F40" s="2"/>
      <c r="G40" s="2"/>
      <c r="Q40" s="3"/>
      <c r="S40" s="4"/>
      <c r="AF40" s="3"/>
      <c r="AH40" s="4"/>
    </row>
    <row r="41" spans="2:34" x14ac:dyDescent="0.3">
      <c r="B41">
        <v>38</v>
      </c>
      <c r="C41" s="2">
        <v>18.306979999999999</v>
      </c>
      <c r="D41" s="2">
        <v>18.317260000000001</v>
      </c>
      <c r="E41" s="2">
        <v>18.317589999999999</v>
      </c>
      <c r="F41" s="2"/>
      <c r="G41" s="2"/>
      <c r="Q41" s="3"/>
      <c r="S41" s="4"/>
      <c r="AF41" s="3"/>
      <c r="AH41" s="4"/>
    </row>
    <row r="42" spans="2:34" x14ac:dyDescent="0.3">
      <c r="B42">
        <v>39</v>
      </c>
      <c r="C42" s="2">
        <v>18.303940000000001</v>
      </c>
      <c r="D42" s="2">
        <v>18.317160000000001</v>
      </c>
      <c r="E42" s="2">
        <v>18.316690000000001</v>
      </c>
      <c r="F42" s="2"/>
      <c r="G42" s="2"/>
      <c r="Q42" s="3"/>
      <c r="S42" s="4"/>
      <c r="AF42" s="3"/>
      <c r="AH42" s="4"/>
    </row>
    <row r="43" spans="2:34" x14ac:dyDescent="0.3">
      <c r="B43">
        <v>40</v>
      </c>
      <c r="C43" s="2">
        <v>18.304379999999998</v>
      </c>
      <c r="D43" s="2">
        <v>18.316590000000001</v>
      </c>
      <c r="E43" s="2">
        <v>18.315290000000001</v>
      </c>
      <c r="F43" s="2"/>
      <c r="G43" s="2"/>
      <c r="Q43" s="3"/>
      <c r="S43" s="4"/>
      <c r="AF43" s="3"/>
      <c r="AH43" s="4"/>
    </row>
    <row r="44" spans="2:34" x14ac:dyDescent="0.3">
      <c r="B44">
        <v>41</v>
      </c>
      <c r="C44" s="2">
        <v>18.305040000000002</v>
      </c>
      <c r="D44" s="2">
        <v>18.314509999999999</v>
      </c>
      <c r="E44" s="2">
        <v>18.317049999999998</v>
      </c>
      <c r="F44" s="2"/>
      <c r="G44" s="2"/>
      <c r="Q44" s="3"/>
      <c r="S44" s="4"/>
    </row>
    <row r="45" spans="2:34" x14ac:dyDescent="0.3">
      <c r="B45">
        <v>42</v>
      </c>
      <c r="C45" s="2">
        <v>18.304549999999999</v>
      </c>
      <c r="D45" s="2">
        <v>18.313410000000001</v>
      </c>
      <c r="E45" s="2">
        <v>18.31606</v>
      </c>
      <c r="F45" s="2"/>
      <c r="G45" s="2"/>
      <c r="Q45" s="3"/>
      <c r="S45" s="4"/>
    </row>
    <row r="46" spans="2:34" x14ac:dyDescent="0.3">
      <c r="B46">
        <v>43</v>
      </c>
      <c r="C46" s="2">
        <v>18.302900000000001</v>
      </c>
      <c r="D46" s="2">
        <v>18.315449999999998</v>
      </c>
      <c r="E46" s="2">
        <v>18.317240000000002</v>
      </c>
      <c r="F46" s="2"/>
      <c r="G46" s="2"/>
      <c r="Q46" s="3"/>
      <c r="S46" s="4"/>
    </row>
    <row r="47" spans="2:34" x14ac:dyDescent="0.3">
      <c r="B47">
        <v>44</v>
      </c>
      <c r="C47" s="2">
        <v>18.30348</v>
      </c>
      <c r="D47" s="2">
        <v>18.316220000000001</v>
      </c>
      <c r="E47" s="2">
        <v>18.314789999999999</v>
      </c>
      <c r="F47" s="2"/>
      <c r="G47" s="2"/>
      <c r="Q47" s="3"/>
      <c r="S47" s="4"/>
    </row>
    <row r="48" spans="2:34" x14ac:dyDescent="0.3">
      <c r="B48">
        <v>45</v>
      </c>
      <c r="C48" s="2">
        <v>18.305289999999999</v>
      </c>
      <c r="D48" s="2">
        <v>18.315850000000001</v>
      </c>
      <c r="E48" s="2">
        <v>18.314229999999998</v>
      </c>
      <c r="F48" s="2"/>
      <c r="G48" s="2"/>
      <c r="Q48" s="3"/>
      <c r="S48" s="4"/>
    </row>
    <row r="49" spans="2:25" x14ac:dyDescent="0.3">
      <c r="B49">
        <v>46</v>
      </c>
      <c r="C49" s="2">
        <v>18.30462</v>
      </c>
      <c r="D49" s="2">
        <v>18.31587</v>
      </c>
      <c r="E49" s="2">
        <v>18.315069999999999</v>
      </c>
      <c r="F49" s="2"/>
      <c r="G49" s="2"/>
      <c r="Q49" s="3"/>
      <c r="S49" s="4"/>
    </row>
    <row r="50" spans="2:25" x14ac:dyDescent="0.3">
      <c r="B50">
        <v>47</v>
      </c>
      <c r="C50" s="2">
        <v>18.30518</v>
      </c>
      <c r="D50" s="2">
        <v>18.316299999999998</v>
      </c>
      <c r="E50" s="2">
        <v>18.31466</v>
      </c>
      <c r="F50" s="2"/>
      <c r="G50" s="2"/>
      <c r="Q50" s="3"/>
      <c r="S50" s="4"/>
    </row>
    <row r="51" spans="2:25" x14ac:dyDescent="0.3">
      <c r="B51">
        <v>48</v>
      </c>
      <c r="C51" s="2">
        <v>18.30508</v>
      </c>
      <c r="D51" s="2">
        <v>18.313749999999999</v>
      </c>
      <c r="E51" s="2">
        <v>18.31598</v>
      </c>
      <c r="F51" s="2"/>
      <c r="G51" s="2"/>
      <c r="Q51" s="3"/>
      <c r="S51" s="4"/>
    </row>
    <row r="52" spans="2:25" x14ac:dyDescent="0.3">
      <c r="B52">
        <v>49</v>
      </c>
      <c r="C52" s="2">
        <v>18.305330000000001</v>
      </c>
      <c r="D52" s="2">
        <v>18.312460000000002</v>
      </c>
      <c r="E52" s="2">
        <v>18.314800000000002</v>
      </c>
      <c r="F52" s="2"/>
      <c r="G52" s="2"/>
      <c r="Q52" s="3"/>
      <c r="S52" s="4"/>
    </row>
    <row r="53" spans="2:25" x14ac:dyDescent="0.3">
      <c r="B53">
        <v>50</v>
      </c>
      <c r="C53" s="2">
        <v>18.30274</v>
      </c>
      <c r="D53" s="2">
        <v>18.31579</v>
      </c>
      <c r="E53" s="2">
        <v>18.316500000000001</v>
      </c>
      <c r="F53" s="2"/>
      <c r="G53" s="2"/>
      <c r="Q53" s="3"/>
      <c r="S53" s="4"/>
    </row>
    <row r="54" spans="2:25" x14ac:dyDescent="0.3">
      <c r="W54" s="3"/>
      <c r="Y54" s="4"/>
    </row>
    <row r="55" spans="2:25" x14ac:dyDescent="0.3">
      <c r="W55" s="3"/>
      <c r="Y55" s="4"/>
    </row>
    <row r="56" spans="2:25" x14ac:dyDescent="0.3">
      <c r="W56" s="3"/>
      <c r="Y56" s="4"/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Taesuk Oh</dc:creator>
  <cp:lastModifiedBy>Taesuk Oh</cp:lastModifiedBy>
  <dcterms:created xsi:type="dcterms:W3CDTF">2025-12-29T21:33:25Z</dcterms:created>
  <dcterms:modified xsi:type="dcterms:W3CDTF">2025-12-29T21:48:44Z</dcterms:modified>
</cp:coreProperties>
</file>