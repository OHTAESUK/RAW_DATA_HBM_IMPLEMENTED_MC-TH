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esukOh\Desktop\KAIST\RESEARCH_MONTE_CARLO\10_IMC_RESEARCH-추가연구\04_HBM_TH_COUPLING (RE)\0403_계산결과들\12_NEA_3by3_ITER05\"/>
    </mc:Choice>
  </mc:AlternateContent>
  <xr:revisionPtr revIDLastSave="0" documentId="13_ncr:1_{D802A30A-0759-4C2D-9462-7E88CCEED7D6}" xr6:coauthVersionLast="47" xr6:coauthVersionMax="47" xr10:uidLastSave="{00000000-0000-0000-0000-000000000000}"/>
  <bookViews>
    <workbookView xWindow="-120" yWindow="-120" windowWidth="29040" windowHeight="15720" activeTab="1" xr2:uid="{BA20E572-6B2B-4A83-81ED-DB43BAEDFF48}"/>
  </bookViews>
  <sheets>
    <sheet name="Sheet1" sheetId="1" r:id="rId1"/>
    <sheet name="Sheet2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4" l="1"/>
  <c r="O3" i="4"/>
  <c r="G3" i="4"/>
  <c r="G2" i="4"/>
  <c r="G4" i="1"/>
  <c r="O3" i="1"/>
  <c r="G3" i="1"/>
  <c r="T13" i="3"/>
  <c r="U13" i="3" s="1"/>
  <c r="T12" i="3"/>
  <c r="U12" i="3" s="1"/>
  <c r="T11" i="3"/>
  <c r="U11" i="3" s="1"/>
  <c r="T10" i="3"/>
  <c r="U10" i="3" s="1"/>
  <c r="T9" i="3"/>
  <c r="U9" i="3" s="1"/>
  <c r="T8" i="3"/>
  <c r="U8" i="3" s="1"/>
  <c r="T7" i="3"/>
  <c r="U7" i="3" s="1"/>
  <c r="T6" i="3"/>
  <c r="U6" i="3" s="1"/>
  <c r="T5" i="3"/>
  <c r="U5" i="3" s="1"/>
  <c r="T4" i="3"/>
  <c r="U4" i="3" s="1"/>
  <c r="G2" i="1"/>
</calcChain>
</file>

<file path=xl/sharedStrings.xml><?xml version="1.0" encoding="utf-8"?>
<sst xmlns="http://schemas.openxmlformats.org/spreadsheetml/2006/main" count="274" uniqueCount="21">
  <si>
    <t xml:space="preserve">BATCH </t>
    <phoneticPr fontId="1" type="noConversion"/>
  </si>
  <si>
    <t>KEFF</t>
    <phoneticPr fontId="1" type="noConversion"/>
  </si>
  <si>
    <t>SIGMA</t>
    <phoneticPr fontId="1" type="noConversion"/>
  </si>
  <si>
    <t>MEAN</t>
    <phoneticPr fontId="1" type="noConversion"/>
  </si>
  <si>
    <t xml:space="preserve">STD </t>
    <phoneticPr fontId="1" type="noConversion"/>
  </si>
  <si>
    <t>STD (REAL)</t>
    <phoneticPr fontId="1" type="noConversion"/>
  </si>
  <si>
    <t>Cycle</t>
    <phoneticPr fontId="1" type="noConversion"/>
  </si>
  <si>
    <t>ITER1</t>
    <phoneticPr fontId="1" type="noConversion"/>
  </si>
  <si>
    <t>ITER2</t>
    <phoneticPr fontId="1" type="noConversion"/>
  </si>
  <si>
    <t>ITER5</t>
  </si>
  <si>
    <t>ITER10</t>
  </si>
  <si>
    <t>#ITER</t>
    <phoneticPr fontId="1" type="noConversion"/>
  </si>
  <si>
    <t>keff</t>
    <phoneticPr fontId="1" type="noConversion"/>
  </si>
  <si>
    <t>+/-</t>
  </si>
  <si>
    <t>비활성주기</t>
    <phoneticPr fontId="1" type="noConversion"/>
  </si>
  <si>
    <t>활성주기</t>
    <phoneticPr fontId="1" type="noConversion"/>
  </si>
  <si>
    <t>입자수</t>
    <phoneticPr fontId="1" type="noConversion"/>
  </si>
  <si>
    <t>Batch</t>
  </si>
  <si>
    <t>rel</t>
  </si>
  <si>
    <t>=</t>
  </si>
  <si>
    <t>Apparent L2 Norm (Power)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</si>
</sst>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);[Red]\(0\)"/>
    <numFmt numFmtId="177" formatCode="0.0_);[Red]\(0.0\)"/>
    <numFmt numFmtId="178" formatCode="0.000_);[Red]\(0.000\)"/>
    <numFmt numFmtId="179" formatCode="0.00000_);[Red]\(0.00000\)"/>
    <numFmt numFmtId="180" formatCode="0.0E+00"/>
    <numFmt numFmtId="181" formatCode="0.0000.E+00"/>
    <numFmt numFmtId="182" formatCode="0.000.E+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2" fillId="0" borderId="0" xfId="0" applyFont="1">
      <alignment vertical="center"/>
    </xf>
    <xf numFmtId="180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  <xf numFmtId="181" fontId="0" fillId="0" borderId="0" xfId="0" applyNumberFormat="1">
      <alignment vertical="center"/>
    </xf>
    <xf numFmtId="0" fontId="0" fillId="0" borderId="0" xfId="0" applyAlignment="1">
      <alignment horizontal="left" vertical="center" indent="2"/>
    </xf>
    <xf numFmtId="18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68569149614312"/>
          <c:y val="4.8022195301330811E-2"/>
          <c:w val="0.78964643630416043"/>
          <c:h val="0.7358286567471552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ITER1</c:v>
                </c:pt>
              </c:strCache>
            </c:strRef>
          </c:tx>
          <c:spPr>
            <a:ln w="12700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alpha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Sheet2!$B$4:$B$53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Sheet2!$C$4:$C$53</c:f>
              <c:numCache>
                <c:formatCode>0.000_);[Red]\(0.000\)</c:formatCode>
                <c:ptCount val="50"/>
                <c:pt idx="0">
                  <c:v>15.629110000000001</c:v>
                </c:pt>
                <c:pt idx="1">
                  <c:v>15.479089999999999</c:v>
                </c:pt>
                <c:pt idx="2">
                  <c:v>15.43543</c:v>
                </c:pt>
                <c:pt idx="3">
                  <c:v>15.396319999999999</c:v>
                </c:pt>
                <c:pt idx="4">
                  <c:v>15.370520000000001</c:v>
                </c:pt>
                <c:pt idx="5">
                  <c:v>15.352790000000001</c:v>
                </c:pt>
                <c:pt idx="6">
                  <c:v>15.337910000000001</c:v>
                </c:pt>
                <c:pt idx="7">
                  <c:v>15.323650000000001</c:v>
                </c:pt>
                <c:pt idx="8">
                  <c:v>15.31119</c:v>
                </c:pt>
                <c:pt idx="9">
                  <c:v>15.30728</c:v>
                </c:pt>
                <c:pt idx="10">
                  <c:v>15.30105</c:v>
                </c:pt>
                <c:pt idx="11">
                  <c:v>15.2994</c:v>
                </c:pt>
                <c:pt idx="12">
                  <c:v>15.297639999999999</c:v>
                </c:pt>
                <c:pt idx="13">
                  <c:v>15.295870000000001</c:v>
                </c:pt>
                <c:pt idx="14">
                  <c:v>15.293559999999999</c:v>
                </c:pt>
                <c:pt idx="15">
                  <c:v>15.28912</c:v>
                </c:pt>
                <c:pt idx="16">
                  <c:v>15.287470000000001</c:v>
                </c:pt>
                <c:pt idx="17">
                  <c:v>15.287039999999999</c:v>
                </c:pt>
                <c:pt idx="18">
                  <c:v>15.29266</c:v>
                </c:pt>
                <c:pt idx="19">
                  <c:v>15.290979999999999</c:v>
                </c:pt>
                <c:pt idx="20">
                  <c:v>15.287430000000001</c:v>
                </c:pt>
                <c:pt idx="21">
                  <c:v>15.286479999999999</c:v>
                </c:pt>
                <c:pt idx="22">
                  <c:v>15.28187</c:v>
                </c:pt>
                <c:pt idx="23">
                  <c:v>15.28567</c:v>
                </c:pt>
                <c:pt idx="24">
                  <c:v>15.287269999999999</c:v>
                </c:pt>
                <c:pt idx="25">
                  <c:v>15.285489999999999</c:v>
                </c:pt>
                <c:pt idx="26">
                  <c:v>15.2864</c:v>
                </c:pt>
                <c:pt idx="27">
                  <c:v>15.285550000000001</c:v>
                </c:pt>
                <c:pt idx="28">
                  <c:v>15.28586</c:v>
                </c:pt>
                <c:pt idx="29">
                  <c:v>15.286250000000001</c:v>
                </c:pt>
                <c:pt idx="30">
                  <c:v>15.285819999999999</c:v>
                </c:pt>
                <c:pt idx="31">
                  <c:v>15.28542</c:v>
                </c:pt>
                <c:pt idx="32">
                  <c:v>15.28468</c:v>
                </c:pt>
                <c:pt idx="33">
                  <c:v>15.283910000000001</c:v>
                </c:pt>
                <c:pt idx="34">
                  <c:v>15.284649999999999</c:v>
                </c:pt>
                <c:pt idx="35">
                  <c:v>15.28398</c:v>
                </c:pt>
                <c:pt idx="36">
                  <c:v>15.28449</c:v>
                </c:pt>
                <c:pt idx="37">
                  <c:v>15.28497</c:v>
                </c:pt>
                <c:pt idx="38">
                  <c:v>15.28458</c:v>
                </c:pt>
                <c:pt idx="39">
                  <c:v>15.284929999999999</c:v>
                </c:pt>
                <c:pt idx="40">
                  <c:v>15.28402</c:v>
                </c:pt>
                <c:pt idx="41">
                  <c:v>15.28412</c:v>
                </c:pt>
                <c:pt idx="42">
                  <c:v>15.28342</c:v>
                </c:pt>
                <c:pt idx="43">
                  <c:v>15.283329999999999</c:v>
                </c:pt>
                <c:pt idx="44">
                  <c:v>15.28354</c:v>
                </c:pt>
                <c:pt idx="45">
                  <c:v>15.2845</c:v>
                </c:pt>
                <c:pt idx="46">
                  <c:v>15.284219999999999</c:v>
                </c:pt>
                <c:pt idx="47">
                  <c:v>15.284879999999999</c:v>
                </c:pt>
                <c:pt idx="48">
                  <c:v>15.28453</c:v>
                </c:pt>
                <c:pt idx="49">
                  <c:v>15.285019999999999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A-444C-B00C-9E3E7C027808}"/>
            </c:ext>
          </c:extLst>
        </c:ser>
        <c:ser>
          <c:idx val="1"/>
          <c:order val="1"/>
          <c:tx>
            <c:strRef>
              <c:f>Sheet2!$D$3</c:f>
              <c:strCache>
                <c:ptCount val="1"/>
                <c:pt idx="0">
                  <c:v>ITER2</c:v>
                </c:pt>
              </c:strCache>
            </c:strRef>
          </c:tx>
          <c:spPr>
            <a:ln w="12700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alpha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Sheet2!$B$4:$B$53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Sheet2!$D$4:$D$53</c:f>
              <c:numCache>
                <c:formatCode>0.000_);[Red]\(0.000\)</c:formatCode>
                <c:ptCount val="50"/>
                <c:pt idx="0">
                  <c:v>15.28894</c:v>
                </c:pt>
                <c:pt idx="1">
                  <c:v>15.29053</c:v>
                </c:pt>
                <c:pt idx="2">
                  <c:v>15.299910000000001</c:v>
                </c:pt>
                <c:pt idx="3">
                  <c:v>15.30447</c:v>
                </c:pt>
                <c:pt idx="4">
                  <c:v>15.306710000000001</c:v>
                </c:pt>
                <c:pt idx="5">
                  <c:v>15.31025</c:v>
                </c:pt>
                <c:pt idx="6">
                  <c:v>15.31752</c:v>
                </c:pt>
                <c:pt idx="7">
                  <c:v>15.31967</c:v>
                </c:pt>
                <c:pt idx="8">
                  <c:v>15.32302</c:v>
                </c:pt>
                <c:pt idx="9">
                  <c:v>15.327159999999999</c:v>
                </c:pt>
                <c:pt idx="10">
                  <c:v>15.32629</c:v>
                </c:pt>
                <c:pt idx="11">
                  <c:v>15.327590000000001</c:v>
                </c:pt>
                <c:pt idx="12">
                  <c:v>15.33104</c:v>
                </c:pt>
                <c:pt idx="13">
                  <c:v>15.33113</c:v>
                </c:pt>
                <c:pt idx="14">
                  <c:v>15.33121</c:v>
                </c:pt>
                <c:pt idx="15">
                  <c:v>15.32755</c:v>
                </c:pt>
                <c:pt idx="16">
                  <c:v>15.32719</c:v>
                </c:pt>
                <c:pt idx="17">
                  <c:v>15.326890000000001</c:v>
                </c:pt>
                <c:pt idx="18">
                  <c:v>15.327859999999999</c:v>
                </c:pt>
                <c:pt idx="19">
                  <c:v>15.33019</c:v>
                </c:pt>
                <c:pt idx="20">
                  <c:v>15.33239</c:v>
                </c:pt>
                <c:pt idx="21">
                  <c:v>15.333170000000001</c:v>
                </c:pt>
                <c:pt idx="22">
                  <c:v>15.331759999999999</c:v>
                </c:pt>
                <c:pt idx="23">
                  <c:v>15.326280000000001</c:v>
                </c:pt>
                <c:pt idx="24">
                  <c:v>15.32795</c:v>
                </c:pt>
                <c:pt idx="25">
                  <c:v>15.330500000000001</c:v>
                </c:pt>
                <c:pt idx="26">
                  <c:v>15.33198</c:v>
                </c:pt>
                <c:pt idx="27">
                  <c:v>15.332560000000001</c:v>
                </c:pt>
                <c:pt idx="28">
                  <c:v>15.33278</c:v>
                </c:pt>
                <c:pt idx="29">
                  <c:v>15.333489999999999</c:v>
                </c:pt>
                <c:pt idx="30">
                  <c:v>15.334289999999999</c:v>
                </c:pt>
                <c:pt idx="31">
                  <c:v>15.333819999999999</c:v>
                </c:pt>
                <c:pt idx="32">
                  <c:v>15.33385</c:v>
                </c:pt>
                <c:pt idx="33">
                  <c:v>15.333819999999999</c:v>
                </c:pt>
                <c:pt idx="34">
                  <c:v>15.332610000000001</c:v>
                </c:pt>
                <c:pt idx="35">
                  <c:v>15.334020000000001</c:v>
                </c:pt>
                <c:pt idx="36">
                  <c:v>15.333930000000001</c:v>
                </c:pt>
                <c:pt idx="37">
                  <c:v>15.332710000000001</c:v>
                </c:pt>
                <c:pt idx="38">
                  <c:v>15.333270000000001</c:v>
                </c:pt>
                <c:pt idx="39">
                  <c:v>15.33353</c:v>
                </c:pt>
                <c:pt idx="40">
                  <c:v>15.333880000000001</c:v>
                </c:pt>
                <c:pt idx="41">
                  <c:v>15.333080000000001</c:v>
                </c:pt>
                <c:pt idx="42">
                  <c:v>15.333360000000001</c:v>
                </c:pt>
                <c:pt idx="43">
                  <c:v>15.334020000000001</c:v>
                </c:pt>
                <c:pt idx="44">
                  <c:v>15.33371</c:v>
                </c:pt>
                <c:pt idx="45">
                  <c:v>15.333869999999999</c:v>
                </c:pt>
                <c:pt idx="46">
                  <c:v>15.334390000000001</c:v>
                </c:pt>
                <c:pt idx="47">
                  <c:v>15.33498</c:v>
                </c:pt>
                <c:pt idx="48">
                  <c:v>15.33563</c:v>
                </c:pt>
                <c:pt idx="49">
                  <c:v>15.33569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3A-444C-B00C-9E3E7C027808}"/>
            </c:ext>
          </c:extLst>
        </c:ser>
        <c:ser>
          <c:idx val="2"/>
          <c:order val="2"/>
          <c:tx>
            <c:strRef>
              <c:f>Sheet2!$E$3</c:f>
              <c:strCache>
                <c:ptCount val="1"/>
                <c:pt idx="0">
                  <c:v>ITER5</c:v>
                </c:pt>
              </c:strCache>
            </c:strRef>
          </c:tx>
          <c:spPr>
            <a:ln w="12700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alpha val="5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Sheet2!$B$4:$B$53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Sheet2!$E$4:$E$53</c:f>
              <c:numCache>
                <c:formatCode>0.000_);[Red]\(0.000\)</c:formatCode>
                <c:ptCount val="50"/>
                <c:pt idx="0">
                  <c:v>15.32892</c:v>
                </c:pt>
                <c:pt idx="1">
                  <c:v>15.32818</c:v>
                </c:pt>
                <c:pt idx="2">
                  <c:v>15.33234</c:v>
                </c:pt>
                <c:pt idx="3">
                  <c:v>15.33428</c:v>
                </c:pt>
                <c:pt idx="4">
                  <c:v>15.329800000000001</c:v>
                </c:pt>
                <c:pt idx="5">
                  <c:v>15.329750000000001</c:v>
                </c:pt>
                <c:pt idx="6">
                  <c:v>15.324669999999999</c:v>
                </c:pt>
                <c:pt idx="7">
                  <c:v>15.32269</c:v>
                </c:pt>
                <c:pt idx="8">
                  <c:v>15.318680000000001</c:v>
                </c:pt>
                <c:pt idx="9">
                  <c:v>15.32316</c:v>
                </c:pt>
                <c:pt idx="10">
                  <c:v>15.32053</c:v>
                </c:pt>
                <c:pt idx="11">
                  <c:v>15.31855</c:v>
                </c:pt>
                <c:pt idx="12">
                  <c:v>15.322570000000001</c:v>
                </c:pt>
                <c:pt idx="13">
                  <c:v>15.324490000000001</c:v>
                </c:pt>
                <c:pt idx="14">
                  <c:v>15.326420000000001</c:v>
                </c:pt>
                <c:pt idx="15">
                  <c:v>15.32708</c:v>
                </c:pt>
                <c:pt idx="16">
                  <c:v>15.326000000000001</c:v>
                </c:pt>
                <c:pt idx="17">
                  <c:v>15.32963</c:v>
                </c:pt>
                <c:pt idx="18">
                  <c:v>15.328250000000001</c:v>
                </c:pt>
                <c:pt idx="19">
                  <c:v>15.329230000000001</c:v>
                </c:pt>
                <c:pt idx="20">
                  <c:v>15.3277</c:v>
                </c:pt>
                <c:pt idx="21">
                  <c:v>15.32954</c:v>
                </c:pt>
                <c:pt idx="22">
                  <c:v>15.32715</c:v>
                </c:pt>
                <c:pt idx="23">
                  <c:v>15.3268</c:v>
                </c:pt>
                <c:pt idx="24">
                  <c:v>15.3293</c:v>
                </c:pt>
                <c:pt idx="25">
                  <c:v>15.32849</c:v>
                </c:pt>
                <c:pt idx="26">
                  <c:v>15.3284</c:v>
                </c:pt>
                <c:pt idx="27">
                  <c:v>15.32896</c:v>
                </c:pt>
                <c:pt idx="28">
                  <c:v>15.328580000000001</c:v>
                </c:pt>
                <c:pt idx="29">
                  <c:v>15.328519999999999</c:v>
                </c:pt>
                <c:pt idx="30">
                  <c:v>15.327629999999999</c:v>
                </c:pt>
                <c:pt idx="31">
                  <c:v>15.32748</c:v>
                </c:pt>
                <c:pt idx="32">
                  <c:v>15.32687</c:v>
                </c:pt>
                <c:pt idx="33">
                  <c:v>15.326560000000001</c:v>
                </c:pt>
                <c:pt idx="34">
                  <c:v>15.32667</c:v>
                </c:pt>
                <c:pt idx="35">
                  <c:v>15.32685</c:v>
                </c:pt>
                <c:pt idx="36">
                  <c:v>15.3269</c:v>
                </c:pt>
                <c:pt idx="37">
                  <c:v>15.32668</c:v>
                </c:pt>
                <c:pt idx="38">
                  <c:v>15.32666</c:v>
                </c:pt>
                <c:pt idx="39">
                  <c:v>15.32728</c:v>
                </c:pt>
                <c:pt idx="40">
                  <c:v>15.326930000000001</c:v>
                </c:pt>
                <c:pt idx="41">
                  <c:v>15.32694</c:v>
                </c:pt>
                <c:pt idx="42">
                  <c:v>15.326280000000001</c:v>
                </c:pt>
                <c:pt idx="43">
                  <c:v>15.32558</c:v>
                </c:pt>
                <c:pt idx="44">
                  <c:v>15.32611</c:v>
                </c:pt>
                <c:pt idx="45">
                  <c:v>15.32685</c:v>
                </c:pt>
                <c:pt idx="46">
                  <c:v>15.3262</c:v>
                </c:pt>
                <c:pt idx="47">
                  <c:v>15.32685</c:v>
                </c:pt>
                <c:pt idx="48">
                  <c:v>15.325749999999999</c:v>
                </c:pt>
                <c:pt idx="49">
                  <c:v>15.32644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3A-444C-B00C-9E3E7C027808}"/>
            </c:ext>
          </c:extLst>
        </c:ser>
        <c:ser>
          <c:idx val="3"/>
          <c:order val="3"/>
          <c:tx>
            <c:strRef>
              <c:f>Sheet2!$F$3</c:f>
              <c:strCache>
                <c:ptCount val="1"/>
                <c:pt idx="0">
                  <c:v>ITER10</c:v>
                </c:pt>
              </c:strCache>
            </c:strRef>
          </c:tx>
          <c:spPr>
            <a:ln w="12700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alpha val="5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Sheet2!$B$4:$B$53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Sheet2!$F$4:$F$53</c:f>
              <c:numCache>
                <c:formatCode>0.000_);[Red]\(0.000\)</c:formatCode>
                <c:ptCount val="50"/>
                <c:pt idx="0">
                  <c:v>15.326230000000001</c:v>
                </c:pt>
                <c:pt idx="1">
                  <c:v>15.325620000000001</c:v>
                </c:pt>
                <c:pt idx="2">
                  <c:v>15.32372</c:v>
                </c:pt>
                <c:pt idx="3">
                  <c:v>15.324909999999999</c:v>
                </c:pt>
                <c:pt idx="4">
                  <c:v>15.32607</c:v>
                </c:pt>
                <c:pt idx="5">
                  <c:v>15.329090000000001</c:v>
                </c:pt>
                <c:pt idx="6">
                  <c:v>15.328799999999999</c:v>
                </c:pt>
                <c:pt idx="7">
                  <c:v>15.328060000000001</c:v>
                </c:pt>
                <c:pt idx="8">
                  <c:v>15.333729999999999</c:v>
                </c:pt>
                <c:pt idx="9">
                  <c:v>15.329470000000001</c:v>
                </c:pt>
                <c:pt idx="10">
                  <c:v>15.32734</c:v>
                </c:pt>
                <c:pt idx="11">
                  <c:v>15.3294</c:v>
                </c:pt>
                <c:pt idx="12">
                  <c:v>15.32578</c:v>
                </c:pt>
                <c:pt idx="13">
                  <c:v>15.32732</c:v>
                </c:pt>
                <c:pt idx="14">
                  <c:v>15.32653</c:v>
                </c:pt>
                <c:pt idx="15">
                  <c:v>15.327640000000001</c:v>
                </c:pt>
                <c:pt idx="16">
                  <c:v>15.325989999999999</c:v>
                </c:pt>
                <c:pt idx="17">
                  <c:v>15.32695</c:v>
                </c:pt>
                <c:pt idx="18">
                  <c:v>15.3232</c:v>
                </c:pt>
                <c:pt idx="19">
                  <c:v>15.32394</c:v>
                </c:pt>
                <c:pt idx="20">
                  <c:v>15.32536</c:v>
                </c:pt>
                <c:pt idx="21">
                  <c:v>15.323589999999999</c:v>
                </c:pt>
                <c:pt idx="22">
                  <c:v>15.324619999999999</c:v>
                </c:pt>
                <c:pt idx="23">
                  <c:v>15.320510000000001</c:v>
                </c:pt>
                <c:pt idx="24">
                  <c:v>15.323650000000001</c:v>
                </c:pt>
                <c:pt idx="25">
                  <c:v>15.3231</c:v>
                </c:pt>
                <c:pt idx="26">
                  <c:v>15.32263</c:v>
                </c:pt>
                <c:pt idx="27">
                  <c:v>15.32363</c:v>
                </c:pt>
                <c:pt idx="28">
                  <c:v>15.323829999999999</c:v>
                </c:pt>
                <c:pt idx="29">
                  <c:v>15.32485</c:v>
                </c:pt>
                <c:pt idx="30">
                  <c:v>15.32471</c:v>
                </c:pt>
                <c:pt idx="31">
                  <c:v>15.32545</c:v>
                </c:pt>
                <c:pt idx="32">
                  <c:v>15.32607</c:v>
                </c:pt>
                <c:pt idx="33">
                  <c:v>15.325430000000001</c:v>
                </c:pt>
                <c:pt idx="34">
                  <c:v>15.32586</c:v>
                </c:pt>
                <c:pt idx="35">
                  <c:v>15.32512</c:v>
                </c:pt>
                <c:pt idx="36">
                  <c:v>15.325229999999999</c:v>
                </c:pt>
                <c:pt idx="37">
                  <c:v>15.326320000000001</c:v>
                </c:pt>
                <c:pt idx="38">
                  <c:v>15.32751</c:v>
                </c:pt>
                <c:pt idx="39">
                  <c:v>15.326610000000001</c:v>
                </c:pt>
                <c:pt idx="40">
                  <c:v>15.32591</c:v>
                </c:pt>
                <c:pt idx="41">
                  <c:v>15.32615</c:v>
                </c:pt>
                <c:pt idx="42">
                  <c:v>15.32593</c:v>
                </c:pt>
                <c:pt idx="43">
                  <c:v>15.32536</c:v>
                </c:pt>
                <c:pt idx="44">
                  <c:v>15.32635</c:v>
                </c:pt>
                <c:pt idx="45">
                  <c:v>15.32573</c:v>
                </c:pt>
                <c:pt idx="46">
                  <c:v>15.32648</c:v>
                </c:pt>
                <c:pt idx="47">
                  <c:v>15.32727</c:v>
                </c:pt>
                <c:pt idx="48">
                  <c:v>15.326930000000001</c:v>
                </c:pt>
                <c:pt idx="49">
                  <c:v>15.32747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3A-444C-B00C-9E3E7C027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788888"/>
        <c:axId val="654792496"/>
      </c:scatterChart>
      <c:valAx>
        <c:axId val="65478888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Cycle</a:t>
                </a:r>
                <a:r>
                  <a:rPr lang="en-US" altLang="ko-KR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endParaRPr lang="en-US" altLang="ko-KR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654792496"/>
        <c:crosses val="autoZero"/>
        <c:crossBetween val="midCat"/>
      </c:valAx>
      <c:valAx>
        <c:axId val="65479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Entropy [-]</a:t>
                </a:r>
              </a:p>
            </c:rich>
          </c:tx>
          <c:layout>
            <c:manualLayout>
              <c:xMode val="edge"/>
              <c:yMode val="edge"/>
              <c:x val="2.9440548928318943E-2"/>
              <c:y val="0.293953755237068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65478888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60059882853698"/>
          <c:y val="5.9364316150068548E-2"/>
          <c:w val="0.20806243346231337"/>
          <c:h val="0.23645858514841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Sheet2!$Q$3</c:f>
              <c:strCache>
                <c:ptCount val="1"/>
                <c:pt idx="0">
                  <c:v>keff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Sheet2!$U$4:$U$14</c:f>
                <c:numCache>
                  <c:formatCode>General</c:formatCode>
                  <c:ptCount val="11"/>
                  <c:pt idx="0">
                    <c:v>1.3113999999999999E-4</c:v>
                  </c:pt>
                  <c:pt idx="1">
                    <c:v>1.2909999999999999E-4</c:v>
                  </c:pt>
                  <c:pt idx="2">
                    <c:v>1.4103999999999999E-4</c:v>
                  </c:pt>
                  <c:pt idx="3">
                    <c:v>1.4226000000000001E-4</c:v>
                  </c:pt>
                  <c:pt idx="4">
                    <c:v>1.2506E-4</c:v>
                  </c:pt>
                  <c:pt idx="5">
                    <c:v>1.1844E-4</c:v>
                  </c:pt>
                  <c:pt idx="6">
                    <c:v>1.3173999999999998E-4</c:v>
                  </c:pt>
                  <c:pt idx="7">
                    <c:v>1.2788E-4</c:v>
                  </c:pt>
                  <c:pt idx="8">
                    <c:v>1.3516E-4</c:v>
                  </c:pt>
                  <c:pt idx="9">
                    <c:v>1.2883999999999999E-4</c:v>
                  </c:pt>
                </c:numCache>
              </c:numRef>
            </c:plus>
            <c:minus>
              <c:numRef>
                <c:f>Sheet2!$U$4:$U$14</c:f>
                <c:numCache>
                  <c:formatCode>General</c:formatCode>
                  <c:ptCount val="11"/>
                  <c:pt idx="0">
                    <c:v>1.3113999999999999E-4</c:v>
                  </c:pt>
                  <c:pt idx="1">
                    <c:v>1.2909999999999999E-4</c:v>
                  </c:pt>
                  <c:pt idx="2">
                    <c:v>1.4103999999999999E-4</c:v>
                  </c:pt>
                  <c:pt idx="3">
                    <c:v>1.4226000000000001E-4</c:v>
                  </c:pt>
                  <c:pt idx="4">
                    <c:v>1.2506E-4</c:v>
                  </c:pt>
                  <c:pt idx="5">
                    <c:v>1.1844E-4</c:v>
                  </c:pt>
                  <c:pt idx="6">
                    <c:v>1.3173999999999998E-4</c:v>
                  </c:pt>
                  <c:pt idx="7">
                    <c:v>1.2788E-4</c:v>
                  </c:pt>
                  <c:pt idx="8">
                    <c:v>1.3516E-4</c:v>
                  </c:pt>
                  <c:pt idx="9">
                    <c:v>1.2883999999999999E-4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numRef>
              <c:f>Sheet2!$P$4:$P$14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Sheet2!$Q$4:$Q$14</c:f>
              <c:numCache>
                <c:formatCode>0.00000_);[Red]\(0.00000\)</c:formatCode>
                <c:ptCount val="11"/>
                <c:pt idx="0">
                  <c:v>1.2319169999999999</c:v>
                </c:pt>
                <c:pt idx="1">
                  <c:v>1.2277089999999999</c:v>
                </c:pt>
                <c:pt idx="2">
                  <c:v>1.2283120000000001</c:v>
                </c:pt>
                <c:pt idx="3">
                  <c:v>1.2281230000000001</c:v>
                </c:pt>
                <c:pt idx="4">
                  <c:v>1.2281089999999999</c:v>
                </c:pt>
                <c:pt idx="5">
                  <c:v>1.2282960000000001</c:v>
                </c:pt>
                <c:pt idx="6">
                  <c:v>1.228092</c:v>
                </c:pt>
                <c:pt idx="7">
                  <c:v>1.2282</c:v>
                </c:pt>
                <c:pt idx="8">
                  <c:v>1.228159</c:v>
                </c:pt>
                <c:pt idx="9">
                  <c:v>1.228253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4-471A-9045-08B7ED3E9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31928"/>
        <c:axId val="707028648"/>
      </c:scatterChart>
      <c:valAx>
        <c:axId val="707031928"/>
        <c:scaling>
          <c:orientation val="minMax"/>
          <c:max val="10.01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Picard Iteration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707028648"/>
        <c:crosses val="autoZero"/>
        <c:crossBetween val="midCat"/>
        <c:majorUnit val="1"/>
      </c:valAx>
      <c:valAx>
        <c:axId val="70702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Multiplication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707031928"/>
        <c:crosses val="autoZero"/>
        <c:crossBetween val="midCat"/>
        <c:majorUnit val="1.0000000000000002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376250</xdr:colOff>
      <xdr:row>2</xdr:row>
      <xdr:rowOff>196346</xdr:rowOff>
    </xdr:from>
    <xdr:to>
      <xdr:col>13</xdr:col>
      <xdr:colOff>351402</xdr:colOff>
      <xdr:row>17</xdr:row>
      <xdr:rowOff>20756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5E78754-CEC3-4EE6-8FE6-87459BE4A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250170</xdr:colOff>
      <xdr:row>2</xdr:row>
      <xdr:rowOff>88805</xdr:rowOff>
    </xdr:from>
    <xdr:to>
      <xdr:col>28</xdr:col>
      <xdr:colOff>216834</xdr:colOff>
      <xdr:row>16</xdr:row>
      <xdr:rowOff>131669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CE1C560-8382-4657-AE68-57A6FB35D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</xdr:colOff>
      <xdr:row>4</xdr:row>
      <xdr:rowOff>142875</xdr:rowOff>
    </xdr:from>
    <xdr:ext cx="1307666" cy="8438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0B98D-9611-5D7B-2FE4-D6D58A9DD80B}"/>
            </a:ext>
          </a:extLst>
        </xdr:cNvPr>
        <xdr:cNvSpPr txBox="1"/>
      </xdr:nvSpPr>
      <xdr:spPr>
        <a:xfrm>
          <a:off x="3457575" y="981075"/>
          <a:ext cx="1307666" cy="843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600">
              <a:solidFill>
                <a:srgbClr val="FF0000"/>
              </a:solidFill>
            </a:rPr>
            <a:t>ONLY</a:t>
          </a:r>
          <a:r>
            <a:rPr lang="en-US" altLang="ko-KR" sz="1600" baseline="0">
              <a:solidFill>
                <a:srgbClr val="FF0000"/>
              </a:solidFill>
            </a:rPr>
            <a:t> </a:t>
          </a:r>
        </a:p>
        <a:p>
          <a:r>
            <a:rPr lang="en-US" altLang="ko-KR" sz="1600" baseline="0">
              <a:solidFill>
                <a:srgbClr val="FF0000"/>
              </a:solidFill>
            </a:rPr>
            <a:t>NEUTRONICS</a:t>
          </a:r>
        </a:p>
        <a:p>
          <a:r>
            <a:rPr lang="en-US" altLang="ko-KR" sz="1600" baseline="0">
              <a:solidFill>
                <a:srgbClr val="FF0000"/>
              </a:solidFill>
            </a:rPr>
            <a:t>CASE</a:t>
          </a:r>
          <a:endParaRPr lang="ko-KR" altLang="en-US" sz="16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073E-7CE4-4A1A-A36A-AC1C15D9FE11}">
  <dimension ref="B1:O42"/>
  <sheetViews>
    <sheetView zoomScale="85" zoomScaleNormal="85" workbookViewId="0">
      <selection activeCell="R18" sqref="R18"/>
    </sheetView>
  </sheetViews>
  <sheetFormatPr defaultRowHeight="16.5" x14ac:dyDescent="0.3"/>
  <cols>
    <col min="3" max="3" width="9" style="4"/>
    <col min="4" max="4" width="9" style="2"/>
    <col min="6" max="6" width="12.25" customWidth="1"/>
    <col min="7" max="7" width="10.125" customWidth="1"/>
    <col min="13" max="13" width="10" bestFit="1" customWidth="1"/>
    <col min="15" max="15" width="11.75" bestFit="1" customWidth="1"/>
  </cols>
  <sheetData>
    <row r="1" spans="2:15" x14ac:dyDescent="0.3">
      <c r="C1"/>
      <c r="D1"/>
    </row>
    <row r="2" spans="2:15" x14ac:dyDescent="0.3">
      <c r="B2" t="s">
        <v>0</v>
      </c>
      <c r="C2" t="s">
        <v>1</v>
      </c>
      <c r="D2" t="s">
        <v>2</v>
      </c>
      <c r="F2" t="s">
        <v>3</v>
      </c>
      <c r="G2" s="4">
        <f>AVERAGE(C3:C30)</f>
        <v>1.2281859285714287</v>
      </c>
      <c r="I2" s="12" t="s">
        <v>20</v>
      </c>
      <c r="J2" s="12"/>
      <c r="K2" s="12"/>
      <c r="L2" s="12"/>
      <c r="M2" s="12"/>
      <c r="O2" s="9"/>
    </row>
    <row r="3" spans="2:15" x14ac:dyDescent="0.3">
      <c r="B3">
        <v>1</v>
      </c>
      <c r="C3" s="4">
        <v>1.228207</v>
      </c>
      <c r="D3" s="2">
        <v>6.5549999999999997</v>
      </c>
      <c r="F3" t="s">
        <v>4</v>
      </c>
      <c r="G3" s="2">
        <f>AVERAGE(D3:D30)</f>
        <v>6.410000000000001</v>
      </c>
      <c r="I3" s="10" t="s">
        <v>17</v>
      </c>
      <c r="J3" s="1">
        <v>1</v>
      </c>
      <c r="K3" t="s">
        <v>18</v>
      </c>
      <c r="L3" t="s">
        <v>19</v>
      </c>
      <c r="M3" s="11">
        <v>1.0132E-2</v>
      </c>
      <c r="O3" s="11">
        <f>AVERAGE(M3:M42)</f>
        <v>1.0129925E-2</v>
      </c>
    </row>
    <row r="4" spans="2:15" x14ac:dyDescent="0.3">
      <c r="B4">
        <v>2</v>
      </c>
      <c r="C4" s="4">
        <v>1.2281899999999999</v>
      </c>
      <c r="D4" s="2">
        <v>6.0839999999999996</v>
      </c>
      <c r="F4" t="s">
        <v>5</v>
      </c>
      <c r="G4" s="2">
        <f>STDEV(C3:C42)*100000</f>
        <v>6.5855119731682548</v>
      </c>
      <c r="I4" s="10" t="s">
        <v>17</v>
      </c>
      <c r="J4" s="1">
        <v>2</v>
      </c>
      <c r="K4" t="s">
        <v>18</v>
      </c>
      <c r="L4" t="s">
        <v>19</v>
      </c>
      <c r="M4" s="11">
        <v>1.0123E-2</v>
      </c>
    </row>
    <row r="5" spans="2:15" x14ac:dyDescent="0.3">
      <c r="B5">
        <v>3</v>
      </c>
      <c r="C5" s="4">
        <v>1.2281120000000001</v>
      </c>
      <c r="D5" s="2">
        <v>6.335</v>
      </c>
      <c r="I5" s="10" t="s">
        <v>17</v>
      </c>
      <c r="J5" s="1">
        <v>3</v>
      </c>
      <c r="K5" t="s">
        <v>18</v>
      </c>
      <c r="L5" t="s">
        <v>19</v>
      </c>
      <c r="M5" s="11">
        <v>1.0113E-2</v>
      </c>
    </row>
    <row r="6" spans="2:15" x14ac:dyDescent="0.3">
      <c r="B6">
        <v>4</v>
      </c>
      <c r="C6" s="4">
        <v>1.2281390000000001</v>
      </c>
      <c r="D6" s="2">
        <v>5.9509999999999996</v>
      </c>
      <c r="I6" s="10" t="s">
        <v>17</v>
      </c>
      <c r="J6" s="1">
        <v>4</v>
      </c>
      <c r="K6" t="s">
        <v>18</v>
      </c>
      <c r="L6" t="s">
        <v>19</v>
      </c>
      <c r="M6" s="11">
        <v>1.0123E-2</v>
      </c>
    </row>
    <row r="7" spans="2:15" x14ac:dyDescent="0.3">
      <c r="B7">
        <v>5</v>
      </c>
      <c r="C7" s="4">
        <v>1.2281660000000001</v>
      </c>
      <c r="D7" s="2">
        <v>6.4329999999999998</v>
      </c>
      <c r="I7" s="10" t="s">
        <v>17</v>
      </c>
      <c r="J7" s="1">
        <v>5</v>
      </c>
      <c r="K7" t="s">
        <v>18</v>
      </c>
      <c r="L7" t="s">
        <v>19</v>
      </c>
      <c r="M7" s="11">
        <v>1.0130999999999999E-2</v>
      </c>
    </row>
    <row r="8" spans="2:15" x14ac:dyDescent="0.3">
      <c r="B8">
        <v>6</v>
      </c>
      <c r="C8" s="4">
        <v>1.2282660000000001</v>
      </c>
      <c r="D8" s="2">
        <v>6.0270000000000001</v>
      </c>
      <c r="I8" s="10" t="s">
        <v>17</v>
      </c>
      <c r="J8" s="1">
        <v>6</v>
      </c>
      <c r="K8" t="s">
        <v>18</v>
      </c>
      <c r="L8" t="s">
        <v>19</v>
      </c>
      <c r="M8" s="11">
        <v>1.0111999999999999E-2</v>
      </c>
    </row>
    <row r="9" spans="2:15" x14ac:dyDescent="0.3">
      <c r="B9">
        <v>7</v>
      </c>
      <c r="C9" s="4">
        <v>1.228229</v>
      </c>
      <c r="D9" s="2">
        <v>6.1870000000000003</v>
      </c>
      <c r="I9" s="10" t="s">
        <v>17</v>
      </c>
      <c r="J9" s="1">
        <v>7</v>
      </c>
      <c r="K9" t="s">
        <v>18</v>
      </c>
      <c r="L9" t="s">
        <v>19</v>
      </c>
      <c r="M9" s="11">
        <v>1.013E-2</v>
      </c>
    </row>
    <row r="10" spans="2:15" x14ac:dyDescent="0.3">
      <c r="B10">
        <v>8</v>
      </c>
      <c r="C10" s="4">
        <v>1.2280199999999999</v>
      </c>
      <c r="D10" s="2">
        <v>6.1609999999999996</v>
      </c>
      <c r="I10" s="10" t="s">
        <v>17</v>
      </c>
      <c r="J10" s="1">
        <v>8</v>
      </c>
      <c r="K10" t="s">
        <v>18</v>
      </c>
      <c r="L10" t="s">
        <v>19</v>
      </c>
      <c r="M10" s="11">
        <v>1.0142E-2</v>
      </c>
    </row>
    <row r="11" spans="2:15" x14ac:dyDescent="0.3">
      <c r="B11">
        <v>9</v>
      </c>
      <c r="C11" s="4">
        <v>1.2282729999999999</v>
      </c>
      <c r="D11" s="2">
        <v>6.5430000000000001</v>
      </c>
      <c r="I11" s="10" t="s">
        <v>17</v>
      </c>
      <c r="J11" s="1">
        <v>9</v>
      </c>
      <c r="K11" t="s">
        <v>18</v>
      </c>
      <c r="L11" t="s">
        <v>19</v>
      </c>
      <c r="M11" s="11">
        <v>1.0116E-2</v>
      </c>
    </row>
    <row r="12" spans="2:15" x14ac:dyDescent="0.3">
      <c r="B12">
        <v>10</v>
      </c>
      <c r="C12" s="4">
        <v>1.2281629999999999</v>
      </c>
      <c r="D12" s="2">
        <v>6.3179999999999996</v>
      </c>
      <c r="I12" s="10" t="s">
        <v>17</v>
      </c>
      <c r="J12" s="1">
        <v>10</v>
      </c>
      <c r="K12" t="s">
        <v>18</v>
      </c>
      <c r="L12" t="s">
        <v>19</v>
      </c>
      <c r="M12" s="11">
        <v>1.0126E-2</v>
      </c>
    </row>
    <row r="13" spans="2:15" x14ac:dyDescent="0.3">
      <c r="B13">
        <v>11</v>
      </c>
      <c r="C13" s="4">
        <v>1.2280960000000001</v>
      </c>
      <c r="D13" s="2">
        <v>6.7140000000000004</v>
      </c>
      <c r="I13" s="10" t="s">
        <v>17</v>
      </c>
      <c r="J13" s="1">
        <v>11</v>
      </c>
      <c r="K13" t="s">
        <v>18</v>
      </c>
      <c r="L13" t="s">
        <v>19</v>
      </c>
      <c r="M13" s="11">
        <v>1.013E-2</v>
      </c>
    </row>
    <row r="14" spans="2:15" x14ac:dyDescent="0.3">
      <c r="B14">
        <v>12</v>
      </c>
      <c r="C14" s="4">
        <v>1.228191</v>
      </c>
      <c r="D14" s="2">
        <v>6.51</v>
      </c>
      <c r="I14" s="10" t="s">
        <v>17</v>
      </c>
      <c r="J14" s="1">
        <v>12</v>
      </c>
      <c r="K14" t="s">
        <v>18</v>
      </c>
      <c r="L14" t="s">
        <v>19</v>
      </c>
      <c r="M14" s="11">
        <v>1.013E-2</v>
      </c>
    </row>
    <row r="15" spans="2:15" x14ac:dyDescent="0.3">
      <c r="B15">
        <v>13</v>
      </c>
      <c r="C15" s="4">
        <v>1.228194</v>
      </c>
      <c r="D15" s="2">
        <v>6.3040000000000003</v>
      </c>
      <c r="I15" s="10" t="s">
        <v>17</v>
      </c>
      <c r="J15" s="1">
        <v>13</v>
      </c>
      <c r="K15" t="s">
        <v>18</v>
      </c>
      <c r="L15" t="s">
        <v>19</v>
      </c>
      <c r="M15" s="11">
        <v>1.0156999999999999E-2</v>
      </c>
    </row>
    <row r="16" spans="2:15" x14ac:dyDescent="0.3">
      <c r="B16">
        <v>14</v>
      </c>
      <c r="C16" s="4">
        <v>1.228183</v>
      </c>
      <c r="D16" s="2">
        <v>6.6710000000000003</v>
      </c>
      <c r="I16" s="10" t="s">
        <v>17</v>
      </c>
      <c r="J16" s="1">
        <v>14</v>
      </c>
      <c r="K16" t="s">
        <v>18</v>
      </c>
      <c r="L16" t="s">
        <v>19</v>
      </c>
      <c r="M16" s="11">
        <v>1.0135999999999999E-2</v>
      </c>
    </row>
    <row r="17" spans="2:13" x14ac:dyDescent="0.3">
      <c r="B17">
        <v>15</v>
      </c>
      <c r="C17" s="4">
        <v>1.2281789999999999</v>
      </c>
      <c r="D17" s="2">
        <v>6.8360000000000003</v>
      </c>
      <c r="I17" s="10" t="s">
        <v>17</v>
      </c>
      <c r="J17" s="1">
        <v>15</v>
      </c>
      <c r="K17" t="s">
        <v>18</v>
      </c>
      <c r="L17" t="s">
        <v>19</v>
      </c>
      <c r="M17" s="11">
        <v>1.0118E-2</v>
      </c>
    </row>
    <row r="18" spans="2:13" x14ac:dyDescent="0.3">
      <c r="B18">
        <v>16</v>
      </c>
      <c r="C18" s="4">
        <v>1.228124</v>
      </c>
      <c r="D18" s="2">
        <v>6.6059999999999999</v>
      </c>
      <c r="I18" s="10" t="s">
        <v>17</v>
      </c>
      <c r="J18" s="1">
        <v>16</v>
      </c>
      <c r="K18" t="s">
        <v>18</v>
      </c>
      <c r="L18" t="s">
        <v>19</v>
      </c>
      <c r="M18" s="11">
        <v>1.0132E-2</v>
      </c>
    </row>
    <row r="19" spans="2:13" x14ac:dyDescent="0.3">
      <c r="B19">
        <v>17</v>
      </c>
      <c r="C19" s="4">
        <v>1.2282189999999999</v>
      </c>
      <c r="D19" s="2">
        <v>6.2469999999999999</v>
      </c>
      <c r="I19" s="10" t="s">
        <v>17</v>
      </c>
      <c r="J19" s="1">
        <v>17</v>
      </c>
      <c r="K19" t="s">
        <v>18</v>
      </c>
      <c r="L19" t="s">
        <v>19</v>
      </c>
      <c r="M19" s="11">
        <v>1.0121E-2</v>
      </c>
    </row>
    <row r="20" spans="2:13" x14ac:dyDescent="0.3">
      <c r="B20">
        <v>18</v>
      </c>
      <c r="C20" s="4">
        <v>1.2281880000000001</v>
      </c>
      <c r="D20" s="2">
        <v>6.3550000000000004</v>
      </c>
      <c r="I20" s="10" t="s">
        <v>17</v>
      </c>
      <c r="J20" s="1">
        <v>18</v>
      </c>
      <c r="K20" t="s">
        <v>18</v>
      </c>
      <c r="L20" t="s">
        <v>19</v>
      </c>
      <c r="M20" s="11">
        <v>1.0135999999999999E-2</v>
      </c>
    </row>
    <row r="21" spans="2:13" x14ac:dyDescent="0.3">
      <c r="B21">
        <v>19</v>
      </c>
      <c r="C21" s="4">
        <v>1.2282740000000001</v>
      </c>
      <c r="D21" s="2">
        <v>6.34</v>
      </c>
      <c r="I21" s="10" t="s">
        <v>17</v>
      </c>
      <c r="J21" s="1">
        <v>19</v>
      </c>
      <c r="K21" t="s">
        <v>18</v>
      </c>
      <c r="L21" t="s">
        <v>19</v>
      </c>
      <c r="M21" s="11">
        <v>1.0137E-2</v>
      </c>
    </row>
    <row r="22" spans="2:13" x14ac:dyDescent="0.3">
      <c r="B22">
        <v>20</v>
      </c>
      <c r="C22" s="4">
        <v>1.2282740000000001</v>
      </c>
      <c r="D22" s="2">
        <v>5.5060000000000002</v>
      </c>
      <c r="I22" s="10" t="s">
        <v>17</v>
      </c>
      <c r="J22" s="1">
        <v>20</v>
      </c>
      <c r="K22" t="s">
        <v>18</v>
      </c>
      <c r="L22" t="s">
        <v>19</v>
      </c>
      <c r="M22" s="11">
        <v>1.0134000000000001E-2</v>
      </c>
    </row>
    <row r="23" spans="2:13" x14ac:dyDescent="0.3">
      <c r="B23">
        <v>21</v>
      </c>
      <c r="C23" s="4">
        <v>1.228253</v>
      </c>
      <c r="D23" s="2">
        <v>6.4420000000000002</v>
      </c>
      <c r="I23" s="10" t="s">
        <v>17</v>
      </c>
      <c r="J23" s="1">
        <v>21</v>
      </c>
      <c r="K23" t="s">
        <v>18</v>
      </c>
      <c r="L23" t="s">
        <v>19</v>
      </c>
      <c r="M23" s="11">
        <v>1.0137E-2</v>
      </c>
    </row>
    <row r="24" spans="2:13" x14ac:dyDescent="0.3">
      <c r="B24">
        <v>22</v>
      </c>
      <c r="C24" s="4">
        <v>1.228248</v>
      </c>
      <c r="D24" s="2">
        <v>6.601</v>
      </c>
      <c r="I24" s="10" t="s">
        <v>17</v>
      </c>
      <c r="J24" s="1">
        <v>22</v>
      </c>
      <c r="K24" t="s">
        <v>18</v>
      </c>
      <c r="L24" t="s">
        <v>19</v>
      </c>
      <c r="M24" s="11">
        <v>1.0129000000000001E-2</v>
      </c>
    </row>
    <row r="25" spans="2:13" x14ac:dyDescent="0.3">
      <c r="B25">
        <v>23</v>
      </c>
      <c r="C25" s="4">
        <v>1.2281249999999999</v>
      </c>
      <c r="D25" s="2">
        <v>7.0140000000000002</v>
      </c>
      <c r="I25" s="10" t="s">
        <v>17</v>
      </c>
      <c r="J25" s="1">
        <v>23</v>
      </c>
      <c r="K25" t="s">
        <v>18</v>
      </c>
      <c r="L25" t="s">
        <v>19</v>
      </c>
      <c r="M25" s="11">
        <v>1.014E-2</v>
      </c>
    </row>
    <row r="26" spans="2:13" x14ac:dyDescent="0.3">
      <c r="B26">
        <v>24</v>
      </c>
      <c r="C26" s="4">
        <v>1.2282040000000001</v>
      </c>
      <c r="D26" s="2">
        <v>6.6950000000000003</v>
      </c>
      <c r="I26" s="10" t="s">
        <v>17</v>
      </c>
      <c r="J26" s="1">
        <v>24</v>
      </c>
      <c r="K26" t="s">
        <v>18</v>
      </c>
      <c r="L26" t="s">
        <v>19</v>
      </c>
      <c r="M26" s="11">
        <v>1.0114E-2</v>
      </c>
    </row>
    <row r="27" spans="2:13" x14ac:dyDescent="0.3">
      <c r="B27">
        <v>25</v>
      </c>
      <c r="C27" s="4">
        <v>1.2282010000000001</v>
      </c>
      <c r="D27" s="2">
        <v>6.5919999999999996</v>
      </c>
      <c r="I27" s="10" t="s">
        <v>17</v>
      </c>
      <c r="J27" s="1">
        <v>25</v>
      </c>
      <c r="K27" t="s">
        <v>18</v>
      </c>
      <c r="L27" t="s">
        <v>19</v>
      </c>
      <c r="M27" s="11">
        <v>1.0122000000000001E-2</v>
      </c>
    </row>
    <row r="28" spans="2:13" x14ac:dyDescent="0.3">
      <c r="B28">
        <v>26</v>
      </c>
      <c r="C28" s="4">
        <v>1.228197</v>
      </c>
      <c r="D28" s="2">
        <v>6.4530000000000003</v>
      </c>
      <c r="I28" s="10" t="s">
        <v>17</v>
      </c>
      <c r="J28" s="1">
        <v>26</v>
      </c>
      <c r="K28" t="s">
        <v>18</v>
      </c>
      <c r="L28" t="s">
        <v>19</v>
      </c>
      <c r="M28" s="11">
        <v>1.0126E-2</v>
      </c>
    </row>
    <row r="29" spans="2:13" x14ac:dyDescent="0.3">
      <c r="B29">
        <v>27</v>
      </c>
      <c r="C29" s="4">
        <v>1.228143</v>
      </c>
      <c r="D29" s="2">
        <v>6.5270000000000001</v>
      </c>
      <c r="I29" s="10" t="s">
        <v>17</v>
      </c>
      <c r="J29" s="1">
        <v>27</v>
      </c>
      <c r="K29" t="s">
        <v>18</v>
      </c>
      <c r="L29" t="s">
        <v>19</v>
      </c>
      <c r="M29" s="11">
        <v>1.0142999999999999E-2</v>
      </c>
    </row>
    <row r="30" spans="2:13" x14ac:dyDescent="0.3">
      <c r="B30">
        <v>28</v>
      </c>
      <c r="C30" s="4">
        <v>1.228148</v>
      </c>
      <c r="D30" s="2">
        <v>6.4729999999999999</v>
      </c>
      <c r="I30" s="10" t="s">
        <v>17</v>
      </c>
      <c r="J30" s="1">
        <v>28</v>
      </c>
      <c r="K30" t="s">
        <v>18</v>
      </c>
      <c r="L30" t="s">
        <v>19</v>
      </c>
      <c r="M30" s="11">
        <v>1.0137999999999999E-2</v>
      </c>
    </row>
    <row r="31" spans="2:13" x14ac:dyDescent="0.3">
      <c r="B31">
        <v>29</v>
      </c>
      <c r="C31" s="4">
        <v>1.22814</v>
      </c>
      <c r="D31" s="2">
        <v>6.3419999999999996</v>
      </c>
      <c r="I31" s="10" t="s">
        <v>17</v>
      </c>
      <c r="J31" s="1">
        <v>29</v>
      </c>
      <c r="K31" t="s">
        <v>18</v>
      </c>
      <c r="L31" t="s">
        <v>19</v>
      </c>
      <c r="M31" s="11">
        <v>1.014E-2</v>
      </c>
    </row>
    <row r="32" spans="2:13" x14ac:dyDescent="0.3">
      <c r="B32">
        <v>30</v>
      </c>
      <c r="C32" s="4">
        <v>1.2280690000000001</v>
      </c>
      <c r="D32" s="2">
        <v>6.5620000000000003</v>
      </c>
      <c r="I32" s="10" t="s">
        <v>17</v>
      </c>
      <c r="J32" s="1">
        <v>30</v>
      </c>
      <c r="K32" t="s">
        <v>18</v>
      </c>
      <c r="L32" t="s">
        <v>19</v>
      </c>
      <c r="M32" s="11">
        <v>1.0130999999999999E-2</v>
      </c>
    </row>
    <row r="33" spans="2:13" x14ac:dyDescent="0.3">
      <c r="B33">
        <v>31</v>
      </c>
      <c r="C33" s="4">
        <v>1.228051</v>
      </c>
      <c r="D33" s="2">
        <v>6.93</v>
      </c>
      <c r="I33" s="10" t="s">
        <v>17</v>
      </c>
      <c r="J33" s="1">
        <v>31</v>
      </c>
      <c r="K33" t="s">
        <v>18</v>
      </c>
      <c r="L33" t="s">
        <v>19</v>
      </c>
      <c r="M33" s="11">
        <v>1.0121E-2</v>
      </c>
    </row>
    <row r="34" spans="2:13" x14ac:dyDescent="0.3">
      <c r="B34">
        <v>32</v>
      </c>
      <c r="C34" s="4">
        <v>1.228216</v>
      </c>
      <c r="D34" s="2">
        <v>6.6580000000000004</v>
      </c>
      <c r="I34" s="10" t="s">
        <v>17</v>
      </c>
      <c r="J34" s="1">
        <v>32</v>
      </c>
      <c r="K34" t="s">
        <v>18</v>
      </c>
      <c r="L34" t="s">
        <v>19</v>
      </c>
      <c r="M34" s="11">
        <v>1.0118E-2</v>
      </c>
    </row>
    <row r="35" spans="2:13" x14ac:dyDescent="0.3">
      <c r="B35">
        <v>33</v>
      </c>
      <c r="C35" s="4">
        <v>1.2281</v>
      </c>
      <c r="D35" s="2">
        <v>5.7969999999999997</v>
      </c>
      <c r="I35" s="10" t="s">
        <v>17</v>
      </c>
      <c r="J35" s="1">
        <v>33</v>
      </c>
      <c r="K35" t="s">
        <v>18</v>
      </c>
      <c r="L35" t="s">
        <v>19</v>
      </c>
      <c r="M35" s="11">
        <v>1.0134000000000001E-2</v>
      </c>
    </row>
    <row r="36" spans="2:13" x14ac:dyDescent="0.3">
      <c r="B36">
        <v>34</v>
      </c>
      <c r="C36" s="4">
        <v>1.2281949999999999</v>
      </c>
      <c r="D36" s="2">
        <v>6.7850000000000001</v>
      </c>
      <c r="I36" s="10" t="s">
        <v>17</v>
      </c>
      <c r="J36" s="1">
        <v>34</v>
      </c>
      <c r="K36" t="s">
        <v>18</v>
      </c>
      <c r="L36" t="s">
        <v>19</v>
      </c>
      <c r="M36" s="11">
        <v>1.0129000000000001E-2</v>
      </c>
    </row>
    <row r="37" spans="2:13" x14ac:dyDescent="0.3">
      <c r="B37">
        <v>35</v>
      </c>
      <c r="C37" s="4">
        <v>1.2283280000000001</v>
      </c>
      <c r="D37" s="2">
        <v>6.2750000000000004</v>
      </c>
      <c r="I37" s="10" t="s">
        <v>17</v>
      </c>
      <c r="J37" s="1">
        <v>35</v>
      </c>
      <c r="K37" t="s">
        <v>18</v>
      </c>
      <c r="L37" t="s">
        <v>19</v>
      </c>
      <c r="M37" s="11">
        <v>1.0133E-2</v>
      </c>
    </row>
    <row r="38" spans="2:13" x14ac:dyDescent="0.3">
      <c r="B38">
        <v>36</v>
      </c>
      <c r="C38" s="4">
        <v>1.228129</v>
      </c>
      <c r="D38" s="2">
        <v>6.6319999999999997</v>
      </c>
      <c r="I38" s="10" t="s">
        <v>17</v>
      </c>
      <c r="J38" s="1">
        <v>36</v>
      </c>
      <c r="K38" t="s">
        <v>18</v>
      </c>
      <c r="L38" t="s">
        <v>19</v>
      </c>
      <c r="M38" s="11">
        <v>1.0128E-2</v>
      </c>
    </row>
    <row r="39" spans="2:13" x14ac:dyDescent="0.3">
      <c r="B39">
        <v>37</v>
      </c>
      <c r="C39" s="4">
        <v>1.228183</v>
      </c>
      <c r="D39" s="2">
        <v>6.0709999999999997</v>
      </c>
      <c r="I39" s="10" t="s">
        <v>17</v>
      </c>
      <c r="J39" s="1">
        <v>37</v>
      </c>
      <c r="K39" t="s">
        <v>18</v>
      </c>
      <c r="L39" t="s">
        <v>19</v>
      </c>
      <c r="M39" s="11">
        <v>1.0134000000000001E-2</v>
      </c>
    </row>
    <row r="40" spans="2:13" x14ac:dyDescent="0.3">
      <c r="B40">
        <v>38</v>
      </c>
      <c r="C40" s="4">
        <v>1.2282200000000001</v>
      </c>
      <c r="D40" s="2">
        <v>5.9340000000000002</v>
      </c>
      <c r="I40" s="10" t="s">
        <v>17</v>
      </c>
      <c r="J40" s="1">
        <v>38</v>
      </c>
      <c r="K40" t="s">
        <v>18</v>
      </c>
      <c r="L40" t="s">
        <v>19</v>
      </c>
      <c r="M40" s="11">
        <v>1.013E-2</v>
      </c>
    </row>
    <row r="41" spans="2:13" x14ac:dyDescent="0.3">
      <c r="B41">
        <v>39</v>
      </c>
      <c r="C41" s="4">
        <v>1.228127</v>
      </c>
      <c r="D41" s="2">
        <v>6.54</v>
      </c>
      <c r="I41" s="10" t="s">
        <v>17</v>
      </c>
      <c r="J41" s="1">
        <v>39</v>
      </c>
      <c r="K41" t="s">
        <v>18</v>
      </c>
      <c r="L41" t="s">
        <v>19</v>
      </c>
      <c r="M41" s="11">
        <v>1.0135E-2</v>
      </c>
    </row>
    <row r="42" spans="2:13" x14ac:dyDescent="0.3">
      <c r="B42">
        <v>40</v>
      </c>
      <c r="C42" s="4">
        <v>1.2281169999999999</v>
      </c>
      <c r="D42" s="2">
        <v>6.3780000000000001</v>
      </c>
      <c r="I42" s="10" t="s">
        <v>17</v>
      </c>
      <c r="J42" s="1">
        <v>40</v>
      </c>
      <c r="K42" t="s">
        <v>18</v>
      </c>
      <c r="L42" t="s">
        <v>19</v>
      </c>
      <c r="M42" s="11">
        <v>1.0135999999999999E-2</v>
      </c>
    </row>
  </sheetData>
  <mergeCells count="1">
    <mergeCell ref="I2:M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9C0E-320B-4C8D-ADD2-4E0AE0177422}">
  <dimension ref="B2:AP56"/>
  <sheetViews>
    <sheetView tabSelected="1" zoomScale="70" zoomScaleNormal="70" workbookViewId="0">
      <selection activeCell="T35" sqref="T35"/>
    </sheetView>
  </sheetViews>
  <sheetFormatPr defaultRowHeight="16.5" x14ac:dyDescent="0.3"/>
  <cols>
    <col min="15" max="15" width="5.375" customWidth="1"/>
    <col min="16" max="16" width="10" bestFit="1" customWidth="1"/>
    <col min="24" max="24" width="7.375" customWidth="1"/>
    <col min="26" max="26" width="7.625" customWidth="1"/>
  </cols>
  <sheetData>
    <row r="2" spans="2:42" x14ac:dyDescent="0.3">
      <c r="AK2" s="5"/>
    </row>
    <row r="3" spans="2:42" x14ac:dyDescent="0.3">
      <c r="B3" t="s">
        <v>6</v>
      </c>
      <c r="C3" t="s">
        <v>7</v>
      </c>
      <c r="D3" t="s">
        <v>8</v>
      </c>
      <c r="E3" t="s">
        <v>9</v>
      </c>
      <c r="F3" t="s">
        <v>10</v>
      </c>
      <c r="P3" t="s">
        <v>11</v>
      </c>
      <c r="Q3" t="s">
        <v>12</v>
      </c>
    </row>
    <row r="4" spans="2:42" x14ac:dyDescent="0.3">
      <c r="B4">
        <v>1</v>
      </c>
      <c r="C4" s="3">
        <v>15.629110000000001</v>
      </c>
      <c r="D4" s="3">
        <v>15.28894</v>
      </c>
      <c r="E4" s="3">
        <v>15.32892</v>
      </c>
      <c r="F4" s="3">
        <v>15.326230000000001</v>
      </c>
      <c r="G4" s="3"/>
      <c r="P4">
        <v>1</v>
      </c>
      <c r="Q4" s="4">
        <v>1.2319169999999999</v>
      </c>
      <c r="R4" t="s">
        <v>13</v>
      </c>
      <c r="S4" s="2">
        <v>6.5570000000000004</v>
      </c>
      <c r="T4" s="6">
        <f>S4/100000</f>
        <v>6.5569999999999997E-5</v>
      </c>
      <c r="U4" s="6">
        <f>T4*2</f>
        <v>1.3113999999999999E-4</v>
      </c>
      <c r="AF4" s="4"/>
      <c r="AH4" s="2"/>
      <c r="AK4" s="4"/>
      <c r="AM4" s="4"/>
      <c r="AO4" s="2"/>
      <c r="AP4" s="2"/>
    </row>
    <row r="5" spans="2:42" x14ac:dyDescent="0.3">
      <c r="B5">
        <v>2</v>
      </c>
      <c r="C5" s="3">
        <v>15.479089999999999</v>
      </c>
      <c r="D5" s="3">
        <v>15.29053</v>
      </c>
      <c r="E5" s="3">
        <v>15.32818</v>
      </c>
      <c r="F5" s="3">
        <v>15.325620000000001</v>
      </c>
      <c r="G5" s="3"/>
      <c r="P5">
        <v>2</v>
      </c>
      <c r="Q5" s="4">
        <v>1.2277089999999999</v>
      </c>
      <c r="R5" t="s">
        <v>13</v>
      </c>
      <c r="S5" s="2">
        <v>6.4550000000000001</v>
      </c>
      <c r="T5" s="6">
        <f t="shared" ref="T5:T13" si="0">S5/100000</f>
        <v>6.4549999999999997E-5</v>
      </c>
      <c r="U5" s="6">
        <f t="shared" ref="U5:U13" si="1">T5*2</f>
        <v>1.2909999999999999E-4</v>
      </c>
      <c r="AF5" s="4"/>
      <c r="AH5" s="2"/>
      <c r="AK5" s="2"/>
      <c r="AM5" s="4"/>
      <c r="AO5" s="2"/>
      <c r="AP5" s="2"/>
    </row>
    <row r="6" spans="2:42" x14ac:dyDescent="0.3">
      <c r="B6">
        <v>3</v>
      </c>
      <c r="C6" s="3">
        <v>15.43543</v>
      </c>
      <c r="D6" s="3">
        <v>15.299910000000001</v>
      </c>
      <c r="E6" s="3">
        <v>15.33234</v>
      </c>
      <c r="F6" s="3">
        <v>15.32372</v>
      </c>
      <c r="G6" s="3"/>
      <c r="P6">
        <v>3</v>
      </c>
      <c r="Q6" s="4">
        <v>1.2283120000000001</v>
      </c>
      <c r="R6" t="s">
        <v>13</v>
      </c>
      <c r="S6" s="2">
        <v>7.0519999999999996</v>
      </c>
      <c r="T6" s="6">
        <f t="shared" si="0"/>
        <v>7.0519999999999996E-5</v>
      </c>
      <c r="U6" s="6">
        <f t="shared" si="1"/>
        <v>1.4103999999999999E-4</v>
      </c>
      <c r="AF6" s="4"/>
      <c r="AH6" s="2"/>
      <c r="AK6" s="2"/>
      <c r="AM6" s="4"/>
      <c r="AO6" s="2"/>
      <c r="AP6" s="2"/>
    </row>
    <row r="7" spans="2:42" x14ac:dyDescent="0.3">
      <c r="B7">
        <v>4</v>
      </c>
      <c r="C7" s="3">
        <v>15.396319999999999</v>
      </c>
      <c r="D7" s="3">
        <v>15.30447</v>
      </c>
      <c r="E7" s="3">
        <v>15.33428</v>
      </c>
      <c r="F7" s="3">
        <v>15.324909999999999</v>
      </c>
      <c r="G7" s="3"/>
      <c r="P7">
        <v>4</v>
      </c>
      <c r="Q7" s="4">
        <v>1.2281230000000001</v>
      </c>
      <c r="R7" t="s">
        <v>13</v>
      </c>
      <c r="S7" s="2">
        <v>7.1130000000000004</v>
      </c>
      <c r="T7" s="6">
        <f t="shared" si="0"/>
        <v>7.1130000000000005E-5</v>
      </c>
      <c r="U7" s="6">
        <f t="shared" si="1"/>
        <v>1.4226000000000001E-4</v>
      </c>
      <c r="AF7" s="4"/>
      <c r="AH7" s="2"/>
      <c r="AM7" s="4"/>
      <c r="AO7" s="2"/>
      <c r="AP7" s="2"/>
    </row>
    <row r="8" spans="2:42" x14ac:dyDescent="0.3">
      <c r="B8">
        <v>5</v>
      </c>
      <c r="C8" s="3">
        <v>15.370520000000001</v>
      </c>
      <c r="D8" s="3">
        <v>15.306710000000001</v>
      </c>
      <c r="E8" s="3">
        <v>15.329800000000001</v>
      </c>
      <c r="F8" s="3">
        <v>15.32607</v>
      </c>
      <c r="G8" s="3"/>
      <c r="P8">
        <v>5</v>
      </c>
      <c r="Q8" s="4">
        <v>1.2281089999999999</v>
      </c>
      <c r="R8" t="s">
        <v>13</v>
      </c>
      <c r="S8" s="2">
        <v>6.2530000000000001</v>
      </c>
      <c r="T8" s="6">
        <f t="shared" si="0"/>
        <v>6.2529999999999999E-5</v>
      </c>
      <c r="U8" s="6">
        <f t="shared" si="1"/>
        <v>1.2506E-4</v>
      </c>
      <c r="AF8" s="4"/>
      <c r="AH8" s="2"/>
      <c r="AM8" s="4"/>
      <c r="AO8" s="2"/>
      <c r="AP8" s="2"/>
    </row>
    <row r="9" spans="2:42" x14ac:dyDescent="0.3">
      <c r="B9">
        <v>6</v>
      </c>
      <c r="C9" s="3">
        <v>15.352790000000001</v>
      </c>
      <c r="D9" s="3">
        <v>15.31025</v>
      </c>
      <c r="E9" s="3">
        <v>15.329750000000001</v>
      </c>
      <c r="F9" s="3">
        <v>15.329090000000001</v>
      </c>
      <c r="G9" s="3"/>
      <c r="P9">
        <v>6</v>
      </c>
      <c r="Q9" s="4">
        <v>1.2282960000000001</v>
      </c>
      <c r="R9" t="s">
        <v>13</v>
      </c>
      <c r="S9" s="2">
        <v>5.9219999999999997</v>
      </c>
      <c r="T9" s="6">
        <f t="shared" si="0"/>
        <v>5.9219999999999999E-5</v>
      </c>
      <c r="U9" s="6">
        <f t="shared" si="1"/>
        <v>1.1844E-4</v>
      </c>
      <c r="AF9" s="4"/>
      <c r="AH9" s="2"/>
      <c r="AM9" s="4"/>
      <c r="AO9" s="2"/>
      <c r="AP9" s="2"/>
    </row>
    <row r="10" spans="2:42" x14ac:dyDescent="0.3">
      <c r="B10">
        <v>7</v>
      </c>
      <c r="C10" s="3">
        <v>15.337910000000001</v>
      </c>
      <c r="D10" s="3">
        <v>15.31752</v>
      </c>
      <c r="E10" s="3">
        <v>15.324669999999999</v>
      </c>
      <c r="F10" s="3">
        <v>15.328799999999999</v>
      </c>
      <c r="G10" s="3"/>
      <c r="P10">
        <v>7</v>
      </c>
      <c r="Q10" s="4">
        <v>1.228092</v>
      </c>
      <c r="R10" t="s">
        <v>13</v>
      </c>
      <c r="S10" s="2">
        <v>6.5869999999999997</v>
      </c>
      <c r="T10" s="6">
        <f t="shared" si="0"/>
        <v>6.5869999999999991E-5</v>
      </c>
      <c r="U10" s="6">
        <f t="shared" si="1"/>
        <v>1.3173999999999998E-4</v>
      </c>
      <c r="AF10" s="4"/>
      <c r="AH10" s="2"/>
      <c r="AM10" s="4"/>
      <c r="AO10" s="2"/>
      <c r="AP10" s="2"/>
    </row>
    <row r="11" spans="2:42" x14ac:dyDescent="0.3">
      <c r="B11">
        <v>8</v>
      </c>
      <c r="C11" s="3">
        <v>15.323650000000001</v>
      </c>
      <c r="D11" s="3">
        <v>15.31967</v>
      </c>
      <c r="E11" s="3">
        <v>15.32269</v>
      </c>
      <c r="F11" s="3">
        <v>15.328060000000001</v>
      </c>
      <c r="G11" s="3"/>
      <c r="P11">
        <v>8</v>
      </c>
      <c r="Q11" s="4">
        <v>1.2282</v>
      </c>
      <c r="R11" t="s">
        <v>13</v>
      </c>
      <c r="S11" s="2">
        <v>6.3940000000000001</v>
      </c>
      <c r="T11" s="6">
        <f t="shared" si="0"/>
        <v>6.3940000000000001E-5</v>
      </c>
      <c r="U11" s="6">
        <f t="shared" si="1"/>
        <v>1.2788E-4</v>
      </c>
      <c r="AF11" s="4"/>
      <c r="AH11" s="2"/>
      <c r="AM11" s="4"/>
      <c r="AO11" s="2"/>
      <c r="AP11" s="2"/>
    </row>
    <row r="12" spans="2:42" x14ac:dyDescent="0.3">
      <c r="B12">
        <v>9</v>
      </c>
      <c r="C12" s="3">
        <v>15.31119</v>
      </c>
      <c r="D12" s="3">
        <v>15.32302</v>
      </c>
      <c r="E12" s="3">
        <v>15.318680000000001</v>
      </c>
      <c r="F12" s="3">
        <v>15.333729999999999</v>
      </c>
      <c r="G12" s="3"/>
      <c r="P12">
        <v>9</v>
      </c>
      <c r="Q12" s="4">
        <v>1.228159</v>
      </c>
      <c r="R12" t="s">
        <v>13</v>
      </c>
      <c r="S12" s="2">
        <v>6.758</v>
      </c>
      <c r="T12" s="6">
        <f t="shared" si="0"/>
        <v>6.758E-5</v>
      </c>
      <c r="U12" s="6">
        <f t="shared" si="1"/>
        <v>1.3516E-4</v>
      </c>
      <c r="AF12" s="4"/>
      <c r="AH12" s="2"/>
      <c r="AM12" s="4"/>
      <c r="AO12" s="2"/>
      <c r="AP12" s="2"/>
    </row>
    <row r="13" spans="2:42" x14ac:dyDescent="0.3">
      <c r="B13">
        <v>10</v>
      </c>
      <c r="C13" s="3">
        <v>15.30728</v>
      </c>
      <c r="D13" s="3">
        <v>15.327159999999999</v>
      </c>
      <c r="E13" s="3">
        <v>15.32316</v>
      </c>
      <c r="F13" s="3">
        <v>15.329470000000001</v>
      </c>
      <c r="G13" s="3"/>
      <c r="P13">
        <v>10</v>
      </c>
      <c r="Q13" s="4">
        <v>1.228253</v>
      </c>
      <c r="R13" t="s">
        <v>13</v>
      </c>
      <c r="S13" s="2">
        <v>6.4420000000000002</v>
      </c>
      <c r="T13" s="6">
        <f t="shared" si="0"/>
        <v>6.4419999999999996E-5</v>
      </c>
      <c r="U13" s="6">
        <f t="shared" si="1"/>
        <v>1.2883999999999999E-4</v>
      </c>
      <c r="AF13" s="4"/>
      <c r="AH13" s="2"/>
      <c r="AM13" s="4"/>
      <c r="AO13" s="2"/>
      <c r="AP13" s="2"/>
    </row>
    <row r="14" spans="2:42" x14ac:dyDescent="0.3">
      <c r="B14">
        <v>11</v>
      </c>
      <c r="C14" s="3">
        <v>15.30105</v>
      </c>
      <c r="D14" s="3">
        <v>15.32629</v>
      </c>
      <c r="E14" s="3">
        <v>15.32053</v>
      </c>
      <c r="F14" s="3">
        <v>15.32734</v>
      </c>
      <c r="G14" s="3"/>
      <c r="Q14" s="4"/>
      <c r="S14" s="2"/>
      <c r="T14" s="6"/>
      <c r="U14" s="6"/>
      <c r="AF14" s="4"/>
      <c r="AH14" s="2"/>
    </row>
    <row r="15" spans="2:42" x14ac:dyDescent="0.3">
      <c r="B15">
        <v>12</v>
      </c>
      <c r="C15" s="3">
        <v>15.2994</v>
      </c>
      <c r="D15" s="3">
        <v>15.327590000000001</v>
      </c>
      <c r="E15" s="3">
        <v>15.31855</v>
      </c>
      <c r="F15" s="3">
        <v>15.3294</v>
      </c>
      <c r="G15" s="3"/>
      <c r="AF15" s="4"/>
      <c r="AH15" s="2"/>
    </row>
    <row r="16" spans="2:42" x14ac:dyDescent="0.3">
      <c r="B16">
        <v>13</v>
      </c>
      <c r="C16" s="3">
        <v>15.297639999999999</v>
      </c>
      <c r="D16" s="3">
        <v>15.33104</v>
      </c>
      <c r="E16" s="3">
        <v>15.322570000000001</v>
      </c>
      <c r="F16" s="3">
        <v>15.32578</v>
      </c>
      <c r="G16" s="3"/>
      <c r="AF16" s="4"/>
      <c r="AH16" s="2"/>
    </row>
    <row r="17" spans="2:34" x14ac:dyDescent="0.3">
      <c r="B17">
        <v>14</v>
      </c>
      <c r="C17" s="3">
        <v>15.295870000000001</v>
      </c>
      <c r="D17" s="3">
        <v>15.33113</v>
      </c>
      <c r="E17" s="3">
        <v>15.324490000000001</v>
      </c>
      <c r="F17" s="3">
        <v>15.32732</v>
      </c>
      <c r="G17" s="3"/>
      <c r="Q17" s="4"/>
      <c r="S17" s="2"/>
      <c r="V17" s="4"/>
      <c r="AF17" s="4"/>
      <c r="AH17" s="2"/>
    </row>
    <row r="18" spans="2:34" x14ac:dyDescent="0.3">
      <c r="B18">
        <v>15</v>
      </c>
      <c r="C18" s="3">
        <v>15.293559999999999</v>
      </c>
      <c r="D18" s="3">
        <v>15.33121</v>
      </c>
      <c r="E18" s="3">
        <v>15.326420000000001</v>
      </c>
      <c r="F18" s="3">
        <v>15.32653</v>
      </c>
      <c r="G18" s="3"/>
      <c r="Q18" s="4"/>
      <c r="S18" s="2"/>
      <c r="V18" s="2"/>
      <c r="X18" s="4"/>
      <c r="Z18" s="2"/>
      <c r="AA18" s="2"/>
      <c r="AF18" s="4"/>
      <c r="AH18" s="2"/>
    </row>
    <row r="19" spans="2:34" x14ac:dyDescent="0.3">
      <c r="B19">
        <v>16</v>
      </c>
      <c r="C19" s="3">
        <v>15.28912</v>
      </c>
      <c r="D19" s="3">
        <v>15.32755</v>
      </c>
      <c r="E19" s="3">
        <v>15.32708</v>
      </c>
      <c r="F19" s="3">
        <v>15.327640000000001</v>
      </c>
      <c r="G19" s="3"/>
      <c r="H19" t="s">
        <v>14</v>
      </c>
      <c r="I19" s="1">
        <v>25</v>
      </c>
      <c r="Q19" s="4"/>
      <c r="S19" s="2"/>
      <c r="V19" s="2"/>
      <c r="X19" s="4"/>
      <c r="Z19" s="2"/>
      <c r="AA19" s="2"/>
      <c r="AF19" s="4"/>
      <c r="AH19" s="2"/>
    </row>
    <row r="20" spans="2:34" x14ac:dyDescent="0.3">
      <c r="B20">
        <v>17</v>
      </c>
      <c r="C20" s="3">
        <v>15.287470000000001</v>
      </c>
      <c r="D20" s="3">
        <v>15.32719</v>
      </c>
      <c r="E20" s="3">
        <v>15.326000000000001</v>
      </c>
      <c r="F20" s="3">
        <v>15.325989999999999</v>
      </c>
      <c r="G20" s="3"/>
      <c r="H20" t="s">
        <v>15</v>
      </c>
      <c r="I20" s="1">
        <v>200</v>
      </c>
      <c r="Q20" s="4"/>
      <c r="S20" s="2"/>
      <c r="X20" s="4"/>
      <c r="Z20" s="2"/>
      <c r="AA20" s="2"/>
      <c r="AF20" s="4"/>
      <c r="AH20" s="2"/>
    </row>
    <row r="21" spans="2:34" x14ac:dyDescent="0.3">
      <c r="B21">
        <v>18</v>
      </c>
      <c r="C21" s="3">
        <v>15.287039999999999</v>
      </c>
      <c r="D21" s="3">
        <v>15.326890000000001</v>
      </c>
      <c r="E21" s="3">
        <v>15.32963</v>
      </c>
      <c r="F21" s="3">
        <v>15.32695</v>
      </c>
      <c r="G21" s="3"/>
      <c r="H21" t="s">
        <v>16</v>
      </c>
      <c r="I21" s="7">
        <v>1000000</v>
      </c>
      <c r="Q21" s="4"/>
      <c r="S21" s="2"/>
      <c r="X21" s="4"/>
      <c r="Z21" s="2"/>
      <c r="AA21" s="2"/>
      <c r="AF21" s="4"/>
      <c r="AH21" s="2"/>
    </row>
    <row r="22" spans="2:34" x14ac:dyDescent="0.3">
      <c r="B22">
        <v>19</v>
      </c>
      <c r="C22" s="3">
        <v>15.29266</v>
      </c>
      <c r="D22" s="3">
        <v>15.327859999999999</v>
      </c>
      <c r="E22" s="3">
        <v>15.328250000000001</v>
      </c>
      <c r="F22" s="3">
        <v>15.3232</v>
      </c>
      <c r="G22" s="3"/>
      <c r="Q22" s="4"/>
      <c r="S22" s="2"/>
      <c r="X22" s="4"/>
      <c r="Z22" s="2"/>
      <c r="AA22" s="2"/>
      <c r="AF22" s="4"/>
      <c r="AH22" s="2"/>
    </row>
    <row r="23" spans="2:34" x14ac:dyDescent="0.3">
      <c r="B23">
        <v>20</v>
      </c>
      <c r="C23" s="3">
        <v>15.290979999999999</v>
      </c>
      <c r="D23" s="3">
        <v>15.33019</v>
      </c>
      <c r="E23" s="3">
        <v>15.329230000000001</v>
      </c>
      <c r="F23" s="3">
        <v>15.32394</v>
      </c>
      <c r="G23" s="3"/>
      <c r="Q23" s="4"/>
      <c r="S23" s="2"/>
      <c r="X23" s="4"/>
      <c r="Z23" s="2"/>
      <c r="AA23" s="2"/>
      <c r="AF23" s="4"/>
      <c r="AH23" s="2"/>
    </row>
    <row r="24" spans="2:34" x14ac:dyDescent="0.3">
      <c r="B24">
        <v>21</v>
      </c>
      <c r="C24" s="3">
        <v>15.287430000000001</v>
      </c>
      <c r="D24" s="3">
        <v>15.33239</v>
      </c>
      <c r="E24" s="3">
        <v>15.3277</v>
      </c>
      <c r="F24" s="3">
        <v>15.32536</v>
      </c>
      <c r="G24" s="3"/>
      <c r="Q24" s="4"/>
      <c r="S24" s="2"/>
      <c r="X24" s="4"/>
      <c r="Z24" s="2"/>
      <c r="AA24" s="2"/>
      <c r="AF24" s="4"/>
      <c r="AH24" s="2"/>
    </row>
    <row r="25" spans="2:34" x14ac:dyDescent="0.3">
      <c r="B25">
        <v>22</v>
      </c>
      <c r="C25" s="3">
        <v>15.286479999999999</v>
      </c>
      <c r="D25" s="3">
        <v>15.333170000000001</v>
      </c>
      <c r="E25" s="3">
        <v>15.32954</v>
      </c>
      <c r="F25" s="3">
        <v>15.323589999999999</v>
      </c>
      <c r="G25" s="3"/>
      <c r="Q25" s="4"/>
      <c r="S25" s="2"/>
      <c r="X25" s="4"/>
      <c r="Z25" s="2"/>
      <c r="AA25" s="2"/>
      <c r="AF25" s="4"/>
      <c r="AH25" s="2"/>
    </row>
    <row r="26" spans="2:34" x14ac:dyDescent="0.3">
      <c r="B26">
        <v>23</v>
      </c>
      <c r="C26" s="3">
        <v>15.28187</v>
      </c>
      <c r="D26" s="3">
        <v>15.331759999999999</v>
      </c>
      <c r="E26" s="3">
        <v>15.32715</v>
      </c>
      <c r="F26" s="3">
        <v>15.324619999999999</v>
      </c>
      <c r="G26" s="3"/>
      <c r="Q26" s="4"/>
      <c r="S26" s="2"/>
      <c r="X26" s="4"/>
      <c r="Z26" s="2"/>
      <c r="AA26" s="2"/>
      <c r="AF26" s="4"/>
      <c r="AH26" s="2"/>
    </row>
    <row r="27" spans="2:34" x14ac:dyDescent="0.3">
      <c r="B27">
        <v>24</v>
      </c>
      <c r="C27" s="3">
        <v>15.28567</v>
      </c>
      <c r="D27" s="3">
        <v>15.326280000000001</v>
      </c>
      <c r="E27" s="3">
        <v>15.3268</v>
      </c>
      <c r="F27" s="3">
        <v>15.320510000000001</v>
      </c>
      <c r="G27" s="3"/>
      <c r="Q27" s="4"/>
      <c r="S27" s="2"/>
      <c r="X27" s="4"/>
      <c r="Z27" s="2"/>
      <c r="AA27" s="2"/>
      <c r="AF27" s="4"/>
      <c r="AH27" s="2"/>
    </row>
    <row r="28" spans="2:34" x14ac:dyDescent="0.3">
      <c r="B28">
        <v>25</v>
      </c>
      <c r="C28" s="3">
        <v>15.287269999999999</v>
      </c>
      <c r="D28" s="3">
        <v>15.32795</v>
      </c>
      <c r="E28" s="3">
        <v>15.3293</v>
      </c>
      <c r="F28" s="3">
        <v>15.323650000000001</v>
      </c>
      <c r="G28" s="3"/>
      <c r="Q28" s="4"/>
      <c r="S28" s="2"/>
      <c r="AF28" s="4"/>
      <c r="AH28" s="2"/>
    </row>
    <row r="29" spans="2:34" x14ac:dyDescent="0.3">
      <c r="B29">
        <v>26</v>
      </c>
      <c r="C29" s="3">
        <v>15.285489999999999</v>
      </c>
      <c r="D29" s="3">
        <v>15.330500000000001</v>
      </c>
      <c r="E29" s="3">
        <v>15.32849</v>
      </c>
      <c r="F29" s="3">
        <v>15.3231</v>
      </c>
      <c r="G29" s="3"/>
      <c r="Q29" s="4"/>
      <c r="S29" s="2"/>
      <c r="AF29" s="4"/>
      <c r="AH29" s="2"/>
    </row>
    <row r="30" spans="2:34" x14ac:dyDescent="0.3">
      <c r="B30">
        <v>27</v>
      </c>
      <c r="C30" s="3">
        <v>15.2864</v>
      </c>
      <c r="D30" s="3">
        <v>15.33198</v>
      </c>
      <c r="E30" s="3">
        <v>15.3284</v>
      </c>
      <c r="F30" s="3">
        <v>15.32263</v>
      </c>
      <c r="G30" s="3"/>
      <c r="Q30" s="4"/>
      <c r="S30" s="2"/>
      <c r="AF30" s="4"/>
      <c r="AH30" s="2"/>
    </row>
    <row r="31" spans="2:34" x14ac:dyDescent="0.3">
      <c r="B31">
        <v>28</v>
      </c>
      <c r="C31" s="3">
        <v>15.285550000000001</v>
      </c>
      <c r="D31" s="3">
        <v>15.332560000000001</v>
      </c>
      <c r="E31" s="3">
        <v>15.32896</v>
      </c>
      <c r="F31" s="3">
        <v>15.32363</v>
      </c>
      <c r="G31" s="3"/>
      <c r="Q31" s="4"/>
      <c r="S31" s="2"/>
      <c r="AF31" s="4"/>
      <c r="AH31" s="2"/>
    </row>
    <row r="32" spans="2:34" x14ac:dyDescent="0.3">
      <c r="B32">
        <v>29</v>
      </c>
      <c r="C32" s="3">
        <v>15.28586</v>
      </c>
      <c r="D32" s="3">
        <v>15.33278</v>
      </c>
      <c r="E32" s="3">
        <v>15.328580000000001</v>
      </c>
      <c r="F32" s="3">
        <v>15.323829999999999</v>
      </c>
      <c r="G32" s="3"/>
      <c r="Q32" s="4"/>
      <c r="R32" s="8"/>
      <c r="S32" s="2"/>
      <c r="AF32" s="4"/>
      <c r="AH32" s="2"/>
    </row>
    <row r="33" spans="2:34" x14ac:dyDescent="0.3">
      <c r="B33">
        <v>30</v>
      </c>
      <c r="C33" s="3">
        <v>15.286250000000001</v>
      </c>
      <c r="D33" s="3">
        <v>15.333489999999999</v>
      </c>
      <c r="E33" s="3">
        <v>15.328519999999999</v>
      </c>
      <c r="F33" s="3">
        <v>15.32485</v>
      </c>
      <c r="G33" s="3"/>
      <c r="Q33" s="4"/>
      <c r="S33" s="2"/>
      <c r="AF33" s="4"/>
      <c r="AH33" s="2"/>
    </row>
    <row r="34" spans="2:34" x14ac:dyDescent="0.3">
      <c r="B34">
        <v>31</v>
      </c>
      <c r="C34" s="3">
        <v>15.285819999999999</v>
      </c>
      <c r="D34" s="3">
        <v>15.334289999999999</v>
      </c>
      <c r="E34" s="3">
        <v>15.327629999999999</v>
      </c>
      <c r="F34" s="3">
        <v>15.32471</v>
      </c>
      <c r="G34" s="3"/>
      <c r="Q34" s="4"/>
      <c r="S34" s="2"/>
      <c r="AF34" s="4"/>
      <c r="AH34" s="2"/>
    </row>
    <row r="35" spans="2:34" x14ac:dyDescent="0.3">
      <c r="B35">
        <v>32</v>
      </c>
      <c r="C35" s="3">
        <v>15.28542</v>
      </c>
      <c r="D35" s="3">
        <v>15.333819999999999</v>
      </c>
      <c r="E35" s="3">
        <v>15.32748</v>
      </c>
      <c r="F35" s="3">
        <v>15.32545</v>
      </c>
      <c r="G35" s="3"/>
      <c r="Q35" s="4"/>
      <c r="S35" s="2"/>
      <c r="AF35" s="4"/>
      <c r="AH35" s="2"/>
    </row>
    <row r="36" spans="2:34" x14ac:dyDescent="0.3">
      <c r="B36">
        <v>33</v>
      </c>
      <c r="C36" s="3">
        <v>15.28468</v>
      </c>
      <c r="D36" s="3">
        <v>15.33385</v>
      </c>
      <c r="E36" s="3">
        <v>15.32687</v>
      </c>
      <c r="F36" s="3">
        <v>15.32607</v>
      </c>
      <c r="G36" s="3"/>
      <c r="Q36" s="4"/>
      <c r="S36" s="2"/>
      <c r="AF36" s="4"/>
      <c r="AH36" s="2"/>
    </row>
    <row r="37" spans="2:34" x14ac:dyDescent="0.3">
      <c r="B37">
        <v>34</v>
      </c>
      <c r="C37" s="3">
        <v>15.283910000000001</v>
      </c>
      <c r="D37" s="3">
        <v>15.333819999999999</v>
      </c>
      <c r="E37" s="3">
        <v>15.326560000000001</v>
      </c>
      <c r="F37" s="3">
        <v>15.325430000000001</v>
      </c>
      <c r="G37" s="3"/>
      <c r="Q37" s="4"/>
      <c r="S37" s="2"/>
      <c r="AF37" s="4"/>
      <c r="AH37" s="2"/>
    </row>
    <row r="38" spans="2:34" x14ac:dyDescent="0.3">
      <c r="B38">
        <v>35</v>
      </c>
      <c r="C38" s="3">
        <v>15.284649999999999</v>
      </c>
      <c r="D38" s="3">
        <v>15.332610000000001</v>
      </c>
      <c r="E38" s="3">
        <v>15.32667</v>
      </c>
      <c r="F38" s="3">
        <v>15.32586</v>
      </c>
      <c r="G38" s="3"/>
      <c r="Q38" s="4"/>
      <c r="S38" s="2"/>
      <c r="AF38" s="4"/>
      <c r="AH38" s="2"/>
    </row>
    <row r="39" spans="2:34" x14ac:dyDescent="0.3">
      <c r="B39">
        <v>36</v>
      </c>
      <c r="C39" s="3">
        <v>15.28398</v>
      </c>
      <c r="D39" s="3">
        <v>15.334020000000001</v>
      </c>
      <c r="E39" s="3">
        <v>15.32685</v>
      </c>
      <c r="F39" s="3">
        <v>15.32512</v>
      </c>
      <c r="G39" s="3"/>
      <c r="Q39" s="4"/>
      <c r="S39" s="2"/>
      <c r="AF39" s="4"/>
      <c r="AH39" s="2"/>
    </row>
    <row r="40" spans="2:34" x14ac:dyDescent="0.3">
      <c r="B40">
        <v>37</v>
      </c>
      <c r="C40" s="3">
        <v>15.28449</v>
      </c>
      <c r="D40" s="3">
        <v>15.333930000000001</v>
      </c>
      <c r="E40" s="3">
        <v>15.3269</v>
      </c>
      <c r="F40" s="3">
        <v>15.325229999999999</v>
      </c>
      <c r="G40" s="3"/>
      <c r="Q40" s="4"/>
      <c r="S40" s="2"/>
      <c r="AF40" s="4"/>
      <c r="AH40" s="2"/>
    </row>
    <row r="41" spans="2:34" x14ac:dyDescent="0.3">
      <c r="B41">
        <v>38</v>
      </c>
      <c r="C41" s="3">
        <v>15.28497</v>
      </c>
      <c r="D41" s="3">
        <v>15.332710000000001</v>
      </c>
      <c r="E41" s="3">
        <v>15.32668</v>
      </c>
      <c r="F41" s="3">
        <v>15.326320000000001</v>
      </c>
      <c r="G41" s="3"/>
      <c r="Q41" s="4"/>
      <c r="S41" s="2"/>
      <c r="AF41" s="4"/>
      <c r="AH41" s="2"/>
    </row>
    <row r="42" spans="2:34" x14ac:dyDescent="0.3">
      <c r="B42">
        <v>39</v>
      </c>
      <c r="C42" s="3">
        <v>15.28458</v>
      </c>
      <c r="D42" s="3">
        <v>15.333270000000001</v>
      </c>
      <c r="E42" s="3">
        <v>15.32666</v>
      </c>
      <c r="F42" s="3">
        <v>15.32751</v>
      </c>
      <c r="G42" s="3"/>
      <c r="Q42" s="4"/>
      <c r="S42" s="2"/>
      <c r="AF42" s="4"/>
      <c r="AH42" s="2"/>
    </row>
    <row r="43" spans="2:34" x14ac:dyDescent="0.3">
      <c r="B43">
        <v>40</v>
      </c>
      <c r="C43" s="3">
        <v>15.284929999999999</v>
      </c>
      <c r="D43" s="3">
        <v>15.33353</v>
      </c>
      <c r="E43" s="3">
        <v>15.32728</v>
      </c>
      <c r="F43" s="3">
        <v>15.326610000000001</v>
      </c>
      <c r="G43" s="3"/>
      <c r="Q43" s="4"/>
      <c r="S43" s="2"/>
      <c r="AF43" s="4"/>
      <c r="AH43" s="2"/>
    </row>
    <row r="44" spans="2:34" x14ac:dyDescent="0.3">
      <c r="B44">
        <v>41</v>
      </c>
      <c r="C44" s="3">
        <v>15.28402</v>
      </c>
      <c r="D44" s="3">
        <v>15.333880000000001</v>
      </c>
      <c r="E44" s="3">
        <v>15.326930000000001</v>
      </c>
      <c r="F44" s="3">
        <v>15.32591</v>
      </c>
      <c r="G44" s="3"/>
      <c r="Q44" s="4"/>
      <c r="S44" s="2"/>
    </row>
    <row r="45" spans="2:34" x14ac:dyDescent="0.3">
      <c r="B45">
        <v>42</v>
      </c>
      <c r="C45" s="3">
        <v>15.28412</v>
      </c>
      <c r="D45" s="3">
        <v>15.333080000000001</v>
      </c>
      <c r="E45" s="3">
        <v>15.32694</v>
      </c>
      <c r="F45" s="3">
        <v>15.32615</v>
      </c>
      <c r="G45" s="3"/>
      <c r="Q45" s="4"/>
      <c r="S45" s="2"/>
    </row>
    <row r="46" spans="2:34" x14ac:dyDescent="0.3">
      <c r="B46">
        <v>43</v>
      </c>
      <c r="C46" s="3">
        <v>15.28342</v>
      </c>
      <c r="D46" s="3">
        <v>15.333360000000001</v>
      </c>
      <c r="E46" s="3">
        <v>15.326280000000001</v>
      </c>
      <c r="F46" s="3">
        <v>15.32593</v>
      </c>
      <c r="G46" s="3"/>
      <c r="Q46" s="4"/>
      <c r="S46" s="2"/>
    </row>
    <row r="47" spans="2:34" x14ac:dyDescent="0.3">
      <c r="B47">
        <v>44</v>
      </c>
      <c r="C47" s="3">
        <v>15.283329999999999</v>
      </c>
      <c r="D47" s="3">
        <v>15.334020000000001</v>
      </c>
      <c r="E47" s="3">
        <v>15.32558</v>
      </c>
      <c r="F47" s="3">
        <v>15.32536</v>
      </c>
      <c r="G47" s="3"/>
      <c r="Q47" s="4"/>
      <c r="S47" s="2"/>
    </row>
    <row r="48" spans="2:34" x14ac:dyDescent="0.3">
      <c r="B48">
        <v>45</v>
      </c>
      <c r="C48" s="3">
        <v>15.28354</v>
      </c>
      <c r="D48" s="3">
        <v>15.33371</v>
      </c>
      <c r="E48" s="3">
        <v>15.32611</v>
      </c>
      <c r="F48" s="3">
        <v>15.32635</v>
      </c>
      <c r="G48" s="3"/>
      <c r="Q48" s="4"/>
      <c r="S48" s="2"/>
    </row>
    <row r="49" spans="2:25" x14ac:dyDescent="0.3">
      <c r="B49">
        <v>46</v>
      </c>
      <c r="C49" s="3">
        <v>15.2845</v>
      </c>
      <c r="D49" s="3">
        <v>15.333869999999999</v>
      </c>
      <c r="E49" s="3">
        <v>15.32685</v>
      </c>
      <c r="F49" s="3">
        <v>15.32573</v>
      </c>
      <c r="G49" s="3"/>
      <c r="Q49" s="4"/>
      <c r="S49" s="2"/>
    </row>
    <row r="50" spans="2:25" x14ac:dyDescent="0.3">
      <c r="B50">
        <v>47</v>
      </c>
      <c r="C50" s="3">
        <v>15.284219999999999</v>
      </c>
      <c r="D50" s="3">
        <v>15.334390000000001</v>
      </c>
      <c r="E50" s="3">
        <v>15.3262</v>
      </c>
      <c r="F50" s="3">
        <v>15.32648</v>
      </c>
      <c r="G50" s="3"/>
      <c r="Q50" s="4"/>
      <c r="S50" s="2"/>
    </row>
    <row r="51" spans="2:25" x14ac:dyDescent="0.3">
      <c r="B51">
        <v>48</v>
      </c>
      <c r="C51" s="3">
        <v>15.284879999999999</v>
      </c>
      <c r="D51" s="3">
        <v>15.33498</v>
      </c>
      <c r="E51" s="3">
        <v>15.32685</v>
      </c>
      <c r="F51" s="3">
        <v>15.32727</v>
      </c>
      <c r="G51" s="3"/>
      <c r="Q51" s="4"/>
      <c r="S51" s="2"/>
    </row>
    <row r="52" spans="2:25" x14ac:dyDescent="0.3">
      <c r="B52">
        <v>49</v>
      </c>
      <c r="C52" s="3">
        <v>15.28453</v>
      </c>
      <c r="D52" s="3">
        <v>15.33563</v>
      </c>
      <c r="E52" s="3">
        <v>15.325749999999999</v>
      </c>
      <c r="F52" s="3">
        <v>15.326930000000001</v>
      </c>
      <c r="G52" s="3"/>
      <c r="Q52" s="4"/>
      <c r="S52" s="2"/>
    </row>
    <row r="53" spans="2:25" x14ac:dyDescent="0.3">
      <c r="B53">
        <v>50</v>
      </c>
      <c r="C53" s="3">
        <v>15.285019999999999</v>
      </c>
      <c r="D53" s="3">
        <v>15.33569</v>
      </c>
      <c r="E53" s="3">
        <v>15.32644</v>
      </c>
      <c r="F53" s="3">
        <v>15.32747</v>
      </c>
      <c r="G53" s="3"/>
      <c r="Q53" s="4"/>
      <c r="S53" s="2"/>
    </row>
    <row r="54" spans="2:25" x14ac:dyDescent="0.3">
      <c r="W54" s="4"/>
      <c r="Y54" s="2"/>
    </row>
    <row r="55" spans="2:25" x14ac:dyDescent="0.3">
      <c r="W55" s="4"/>
      <c r="Y55" s="2"/>
    </row>
    <row r="56" spans="2:25" x14ac:dyDescent="0.3">
      <c r="W56" s="4"/>
      <c r="Y56" s="2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96CD-4FA7-4F5E-B740-2569F322747B}">
  <dimension ref="B1:O42"/>
  <sheetViews>
    <sheetView zoomScale="85" zoomScaleNormal="85" workbookViewId="0">
      <selection activeCell="T31" sqref="T31"/>
    </sheetView>
  </sheetViews>
  <sheetFormatPr defaultRowHeight="16.5" x14ac:dyDescent="0.3"/>
  <cols>
    <col min="3" max="3" width="9" style="4"/>
    <col min="4" max="4" width="9" style="2"/>
    <col min="6" max="6" width="12.25" customWidth="1"/>
    <col min="7" max="7" width="10.125" customWidth="1"/>
    <col min="13" max="13" width="10" bestFit="1" customWidth="1"/>
    <col min="15" max="15" width="11.75" bestFit="1" customWidth="1"/>
  </cols>
  <sheetData>
    <row r="1" spans="2:15" x14ac:dyDescent="0.3">
      <c r="C1"/>
      <c r="D1"/>
    </row>
    <row r="2" spans="2:15" x14ac:dyDescent="0.3">
      <c r="B2" t="s">
        <v>0</v>
      </c>
      <c r="C2" t="s">
        <v>1</v>
      </c>
      <c r="D2" t="s">
        <v>2</v>
      </c>
      <c r="F2" t="s">
        <v>3</v>
      </c>
      <c r="G2" s="4">
        <f>AVERAGE(C3:C30)</f>
        <v>1.2380914642857146</v>
      </c>
      <c r="I2" s="12" t="s">
        <v>20</v>
      </c>
      <c r="J2" s="12"/>
      <c r="K2" s="12"/>
      <c r="L2" s="12"/>
      <c r="M2" s="12"/>
      <c r="O2" s="9"/>
    </row>
    <row r="3" spans="2:15" x14ac:dyDescent="0.3">
      <c r="B3">
        <v>1</v>
      </c>
      <c r="C3" s="4">
        <v>1.238056</v>
      </c>
      <c r="D3" s="2">
        <v>6.383</v>
      </c>
      <c r="F3" t="s">
        <v>4</v>
      </c>
      <c r="G3" s="2">
        <f>AVERAGE(D3:D30)</f>
        <v>6.3450714285714289</v>
      </c>
      <c r="I3" s="10" t="s">
        <v>17</v>
      </c>
      <c r="J3" s="1">
        <v>1</v>
      </c>
      <c r="K3" t="s">
        <v>18</v>
      </c>
      <c r="L3" t="s">
        <v>19</v>
      </c>
      <c r="M3" s="11">
        <v>9.8399999999999998E-3</v>
      </c>
      <c r="O3" s="11">
        <f>AVERAGE(M3:M42)</f>
        <v>9.8323500000000036E-3</v>
      </c>
    </row>
    <row r="4" spans="2:15" x14ac:dyDescent="0.3">
      <c r="B4">
        <v>2</v>
      </c>
      <c r="C4" s="4">
        <v>1.2380660000000001</v>
      </c>
      <c r="D4" s="2">
        <v>6.234</v>
      </c>
      <c r="F4" t="s">
        <v>5</v>
      </c>
      <c r="G4" s="2">
        <f>STDEV(C3:C42)*100000</f>
        <v>6.8299111192944357</v>
      </c>
      <c r="I4" s="10" t="s">
        <v>17</v>
      </c>
      <c r="J4" s="1">
        <v>2</v>
      </c>
      <c r="K4" t="s">
        <v>18</v>
      </c>
      <c r="L4" t="s">
        <v>19</v>
      </c>
      <c r="M4" s="11">
        <v>9.8340000000000007E-3</v>
      </c>
    </row>
    <row r="5" spans="2:15" x14ac:dyDescent="0.3">
      <c r="B5">
        <v>3</v>
      </c>
      <c r="C5" s="4">
        <v>1.2381450000000001</v>
      </c>
      <c r="D5" s="2">
        <v>6.476</v>
      </c>
      <c r="I5" s="10" t="s">
        <v>17</v>
      </c>
      <c r="J5" s="1">
        <v>3</v>
      </c>
      <c r="K5" t="s">
        <v>18</v>
      </c>
      <c r="L5" t="s">
        <v>19</v>
      </c>
      <c r="M5" s="11">
        <v>9.8340000000000007E-3</v>
      </c>
    </row>
    <row r="6" spans="2:15" x14ac:dyDescent="0.3">
      <c r="B6">
        <v>4</v>
      </c>
      <c r="C6" s="4">
        <v>1.2380329999999999</v>
      </c>
      <c r="D6" s="2">
        <v>6.1280000000000001</v>
      </c>
      <c r="I6" s="10" t="s">
        <v>17</v>
      </c>
      <c r="J6" s="1">
        <v>4</v>
      </c>
      <c r="K6" t="s">
        <v>18</v>
      </c>
      <c r="L6" t="s">
        <v>19</v>
      </c>
      <c r="M6" s="11">
        <v>9.8370000000000003E-3</v>
      </c>
    </row>
    <row r="7" spans="2:15" x14ac:dyDescent="0.3">
      <c r="B7">
        <v>5</v>
      </c>
      <c r="C7" s="4">
        <v>1.238062</v>
      </c>
      <c r="D7" s="2">
        <v>6.5359999999999996</v>
      </c>
      <c r="I7" s="10" t="s">
        <v>17</v>
      </c>
      <c r="J7" s="1">
        <v>5</v>
      </c>
      <c r="K7" t="s">
        <v>18</v>
      </c>
      <c r="L7" t="s">
        <v>19</v>
      </c>
      <c r="M7" s="11">
        <v>9.8259999999999997E-3</v>
      </c>
    </row>
    <row r="8" spans="2:15" x14ac:dyDescent="0.3">
      <c r="B8">
        <v>6</v>
      </c>
      <c r="C8" s="4">
        <v>1.238146</v>
      </c>
      <c r="D8" s="2">
        <v>6.1189999999999998</v>
      </c>
      <c r="I8" s="10" t="s">
        <v>17</v>
      </c>
      <c r="J8" s="1">
        <v>6</v>
      </c>
      <c r="K8" t="s">
        <v>18</v>
      </c>
      <c r="L8" t="s">
        <v>19</v>
      </c>
      <c r="M8" s="11">
        <v>9.8359999999999993E-3</v>
      </c>
    </row>
    <row r="9" spans="2:15" x14ac:dyDescent="0.3">
      <c r="B9">
        <v>7</v>
      </c>
      <c r="C9" s="4">
        <v>1.2381340000000001</v>
      </c>
      <c r="D9" s="2">
        <v>6.4649999999999999</v>
      </c>
      <c r="I9" s="10" t="s">
        <v>17</v>
      </c>
      <c r="J9" s="1">
        <v>7</v>
      </c>
      <c r="K9" t="s">
        <v>18</v>
      </c>
      <c r="L9" t="s">
        <v>19</v>
      </c>
      <c r="M9" s="11">
        <v>9.8259999999999997E-3</v>
      </c>
    </row>
    <row r="10" spans="2:15" x14ac:dyDescent="0.3">
      <c r="B10">
        <v>8</v>
      </c>
      <c r="C10" s="4">
        <v>1.2381260000000001</v>
      </c>
      <c r="D10" s="2">
        <v>6.569</v>
      </c>
      <c r="I10" s="10" t="s">
        <v>17</v>
      </c>
      <c r="J10" s="1">
        <v>8</v>
      </c>
      <c r="K10" t="s">
        <v>18</v>
      </c>
      <c r="L10" t="s">
        <v>19</v>
      </c>
      <c r="M10" s="11">
        <v>9.8329999999999997E-3</v>
      </c>
    </row>
    <row r="11" spans="2:15" x14ac:dyDescent="0.3">
      <c r="B11">
        <v>9</v>
      </c>
      <c r="C11" s="4">
        <v>1.2381690000000001</v>
      </c>
      <c r="D11" s="2">
        <v>6.3380000000000001</v>
      </c>
      <c r="I11" s="10" t="s">
        <v>17</v>
      </c>
      <c r="J11" s="1">
        <v>9</v>
      </c>
      <c r="K11" t="s">
        <v>18</v>
      </c>
      <c r="L11" t="s">
        <v>19</v>
      </c>
      <c r="M11" s="11">
        <v>9.8379999999999995E-3</v>
      </c>
    </row>
    <row r="12" spans="2:15" x14ac:dyDescent="0.3">
      <c r="B12">
        <v>10</v>
      </c>
      <c r="C12" s="4">
        <v>1.2380359999999999</v>
      </c>
      <c r="D12" s="2">
        <v>6.3890000000000002</v>
      </c>
      <c r="I12" s="10" t="s">
        <v>17</v>
      </c>
      <c r="J12" s="1">
        <v>10</v>
      </c>
      <c r="K12" t="s">
        <v>18</v>
      </c>
      <c r="L12" t="s">
        <v>19</v>
      </c>
      <c r="M12" s="11">
        <v>9.835E-3</v>
      </c>
    </row>
    <row r="13" spans="2:15" x14ac:dyDescent="0.3">
      <c r="B13">
        <v>11</v>
      </c>
      <c r="C13" s="4">
        <v>1.2380199999999999</v>
      </c>
      <c r="D13" s="2">
        <v>6.7069999999999999</v>
      </c>
      <c r="I13" s="10" t="s">
        <v>17</v>
      </c>
      <c r="J13" s="1">
        <v>11</v>
      </c>
      <c r="K13" t="s">
        <v>18</v>
      </c>
      <c r="L13" t="s">
        <v>19</v>
      </c>
      <c r="M13" s="11">
        <v>9.8300000000000002E-3</v>
      </c>
    </row>
    <row r="14" spans="2:15" x14ac:dyDescent="0.3">
      <c r="B14">
        <v>12</v>
      </c>
      <c r="C14" s="4">
        <v>1.2380249999999999</v>
      </c>
      <c r="D14" s="2">
        <v>6.1890000000000001</v>
      </c>
      <c r="I14" s="10" t="s">
        <v>17</v>
      </c>
      <c r="J14" s="1">
        <v>12</v>
      </c>
      <c r="K14" t="s">
        <v>18</v>
      </c>
      <c r="L14" t="s">
        <v>19</v>
      </c>
      <c r="M14" s="11">
        <v>9.8289999999999992E-3</v>
      </c>
    </row>
    <row r="15" spans="2:15" x14ac:dyDescent="0.3">
      <c r="B15">
        <v>13</v>
      </c>
      <c r="C15" s="4">
        <v>1.238019</v>
      </c>
      <c r="D15" s="2">
        <v>5.8730000000000002</v>
      </c>
      <c r="I15" s="10" t="s">
        <v>17</v>
      </c>
      <c r="J15" s="1">
        <v>13</v>
      </c>
      <c r="K15" t="s">
        <v>18</v>
      </c>
      <c r="L15" t="s">
        <v>19</v>
      </c>
      <c r="M15" s="11">
        <v>9.835E-3</v>
      </c>
    </row>
    <row r="16" spans="2:15" x14ac:dyDescent="0.3">
      <c r="B16">
        <v>14</v>
      </c>
      <c r="C16" s="4">
        <v>1.2381329999999999</v>
      </c>
      <c r="D16" s="2">
        <v>6.6420000000000003</v>
      </c>
      <c r="I16" s="10" t="s">
        <v>17</v>
      </c>
      <c r="J16" s="1">
        <v>14</v>
      </c>
      <c r="K16" t="s">
        <v>18</v>
      </c>
      <c r="L16" t="s">
        <v>19</v>
      </c>
      <c r="M16" s="11">
        <v>9.835E-3</v>
      </c>
    </row>
    <row r="17" spans="2:13" x14ac:dyDescent="0.3">
      <c r="B17">
        <v>15</v>
      </c>
      <c r="C17" s="4">
        <v>1.2381200000000001</v>
      </c>
      <c r="D17" s="2">
        <v>6.8959999999999999</v>
      </c>
      <c r="I17" s="10" t="s">
        <v>17</v>
      </c>
      <c r="J17" s="1">
        <v>15</v>
      </c>
      <c r="K17" t="s">
        <v>18</v>
      </c>
      <c r="L17" t="s">
        <v>19</v>
      </c>
      <c r="M17" s="11">
        <v>9.8279999999999999E-3</v>
      </c>
    </row>
    <row r="18" spans="2:13" x14ac:dyDescent="0.3">
      <c r="B18">
        <v>16</v>
      </c>
      <c r="C18" s="4">
        <v>1.2381979999999999</v>
      </c>
      <c r="D18" s="2">
        <v>6.2249999999999996</v>
      </c>
      <c r="I18" s="10" t="s">
        <v>17</v>
      </c>
      <c r="J18" s="1">
        <v>16</v>
      </c>
      <c r="K18" t="s">
        <v>18</v>
      </c>
      <c r="L18" t="s">
        <v>19</v>
      </c>
      <c r="M18" s="11">
        <v>9.8320000000000005E-3</v>
      </c>
    </row>
    <row r="19" spans="2:13" x14ac:dyDescent="0.3">
      <c r="B19">
        <v>17</v>
      </c>
      <c r="C19" s="4">
        <v>1.238057</v>
      </c>
      <c r="D19" s="2">
        <v>6.83</v>
      </c>
      <c r="I19" s="10" t="s">
        <v>17</v>
      </c>
      <c r="J19" s="1">
        <v>17</v>
      </c>
      <c r="K19" t="s">
        <v>18</v>
      </c>
      <c r="L19" t="s">
        <v>19</v>
      </c>
      <c r="M19" s="11">
        <v>9.8359999999999993E-3</v>
      </c>
    </row>
    <row r="20" spans="2:13" x14ac:dyDescent="0.3">
      <c r="B20">
        <v>18</v>
      </c>
      <c r="C20" s="4">
        <v>1.238164</v>
      </c>
      <c r="D20" s="2">
        <v>6.2210000000000001</v>
      </c>
      <c r="I20" s="10" t="s">
        <v>17</v>
      </c>
      <c r="J20" s="1">
        <v>18</v>
      </c>
      <c r="K20" t="s">
        <v>18</v>
      </c>
      <c r="L20" t="s">
        <v>19</v>
      </c>
      <c r="M20" s="11">
        <v>9.8279999999999999E-3</v>
      </c>
    </row>
    <row r="21" spans="2:13" x14ac:dyDescent="0.3">
      <c r="B21">
        <v>19</v>
      </c>
      <c r="C21" s="4">
        <v>1.2380420000000001</v>
      </c>
      <c r="D21" s="2">
        <v>5.9770000000000003</v>
      </c>
      <c r="I21" s="10" t="s">
        <v>17</v>
      </c>
      <c r="J21" s="1">
        <v>19</v>
      </c>
      <c r="K21" t="s">
        <v>18</v>
      </c>
      <c r="L21" t="s">
        <v>19</v>
      </c>
      <c r="M21" s="11">
        <v>9.8300000000000002E-3</v>
      </c>
    </row>
    <row r="22" spans="2:13" x14ac:dyDescent="0.3">
      <c r="B22">
        <v>20</v>
      </c>
      <c r="C22" s="4">
        <v>1.2381740000000001</v>
      </c>
      <c r="D22" s="2">
        <v>6.3840000000000003</v>
      </c>
      <c r="I22" s="10" t="s">
        <v>17</v>
      </c>
      <c r="J22" s="1">
        <v>20</v>
      </c>
      <c r="K22" t="s">
        <v>18</v>
      </c>
      <c r="L22" t="s">
        <v>19</v>
      </c>
      <c r="M22" s="11">
        <v>9.8250000000000004E-3</v>
      </c>
    </row>
    <row r="23" spans="2:13" x14ac:dyDescent="0.3">
      <c r="B23">
        <v>21</v>
      </c>
      <c r="C23" s="4">
        <v>1.2380629999999999</v>
      </c>
      <c r="D23" s="2">
        <v>6.524</v>
      </c>
      <c r="I23" s="10" t="s">
        <v>17</v>
      </c>
      <c r="J23" s="1">
        <v>21</v>
      </c>
      <c r="K23" t="s">
        <v>18</v>
      </c>
      <c r="L23" t="s">
        <v>19</v>
      </c>
      <c r="M23" s="11">
        <v>9.835E-3</v>
      </c>
    </row>
    <row r="24" spans="2:13" x14ac:dyDescent="0.3">
      <c r="B24">
        <v>22</v>
      </c>
      <c r="C24" s="4">
        <v>1.238062</v>
      </c>
      <c r="D24" s="2">
        <v>5.641</v>
      </c>
      <c r="I24" s="10" t="s">
        <v>17</v>
      </c>
      <c r="J24" s="1">
        <v>22</v>
      </c>
      <c r="K24" t="s">
        <v>18</v>
      </c>
      <c r="L24" t="s">
        <v>19</v>
      </c>
      <c r="M24" s="11">
        <v>9.835E-3</v>
      </c>
    </row>
    <row r="25" spans="2:13" x14ac:dyDescent="0.3">
      <c r="B25">
        <v>23</v>
      </c>
      <c r="C25" s="4">
        <v>1.238043</v>
      </c>
      <c r="D25" s="2">
        <v>6.33</v>
      </c>
      <c r="I25" s="10" t="s">
        <v>17</v>
      </c>
      <c r="J25" s="1">
        <v>23</v>
      </c>
      <c r="K25" t="s">
        <v>18</v>
      </c>
      <c r="L25" t="s">
        <v>19</v>
      </c>
      <c r="M25" s="11">
        <v>9.8279999999999999E-3</v>
      </c>
    </row>
    <row r="26" spans="2:13" x14ac:dyDescent="0.3">
      <c r="B26">
        <v>24</v>
      </c>
      <c r="C26" s="4">
        <v>1.238103</v>
      </c>
      <c r="D26" s="2">
        <v>6.673</v>
      </c>
      <c r="I26" s="10" t="s">
        <v>17</v>
      </c>
      <c r="J26" s="1">
        <v>24</v>
      </c>
      <c r="K26" t="s">
        <v>18</v>
      </c>
      <c r="L26" t="s">
        <v>19</v>
      </c>
      <c r="M26" s="11">
        <v>9.8309999999999995E-3</v>
      </c>
    </row>
    <row r="27" spans="2:13" x14ac:dyDescent="0.3">
      <c r="B27">
        <v>25</v>
      </c>
      <c r="C27" s="4">
        <v>1.2382200000000001</v>
      </c>
      <c r="D27" s="2">
        <v>6.4589999999999996</v>
      </c>
      <c r="I27" s="10" t="s">
        <v>17</v>
      </c>
      <c r="J27" s="1">
        <v>25</v>
      </c>
      <c r="K27" t="s">
        <v>18</v>
      </c>
      <c r="L27" t="s">
        <v>19</v>
      </c>
      <c r="M27" s="11">
        <v>9.8289999999999992E-3</v>
      </c>
    </row>
    <row r="28" spans="2:13" x14ac:dyDescent="0.3">
      <c r="B28">
        <v>26</v>
      </c>
      <c r="C28" s="4">
        <v>1.2380389999999999</v>
      </c>
      <c r="D28" s="2">
        <v>6.39</v>
      </c>
      <c r="I28" s="10" t="s">
        <v>17</v>
      </c>
      <c r="J28" s="1">
        <v>26</v>
      </c>
      <c r="K28" t="s">
        <v>18</v>
      </c>
      <c r="L28" t="s">
        <v>19</v>
      </c>
      <c r="M28" s="11">
        <v>9.8340000000000007E-3</v>
      </c>
    </row>
    <row r="29" spans="2:13" x14ac:dyDescent="0.3">
      <c r="B29">
        <v>27</v>
      </c>
      <c r="C29" s="4">
        <v>1.2379610000000001</v>
      </c>
      <c r="D29" s="2">
        <v>6.1150000000000002</v>
      </c>
      <c r="I29" s="10" t="s">
        <v>17</v>
      </c>
      <c r="J29" s="1">
        <v>27</v>
      </c>
      <c r="K29" t="s">
        <v>18</v>
      </c>
      <c r="L29" t="s">
        <v>19</v>
      </c>
      <c r="M29" s="11">
        <v>9.8440000000000003E-3</v>
      </c>
    </row>
    <row r="30" spans="2:13" x14ac:dyDescent="0.3">
      <c r="B30">
        <v>28</v>
      </c>
      <c r="C30" s="4">
        <v>1.2381450000000001</v>
      </c>
      <c r="D30" s="2">
        <v>5.9489999999999998</v>
      </c>
      <c r="I30" s="10" t="s">
        <v>17</v>
      </c>
      <c r="J30" s="1">
        <v>28</v>
      </c>
      <c r="K30" t="s">
        <v>18</v>
      </c>
      <c r="L30" t="s">
        <v>19</v>
      </c>
      <c r="M30" s="11">
        <v>9.8359999999999993E-3</v>
      </c>
    </row>
    <row r="31" spans="2:13" x14ac:dyDescent="0.3">
      <c r="B31">
        <v>29</v>
      </c>
      <c r="C31" s="4">
        <v>1.238059</v>
      </c>
      <c r="D31" s="2">
        <v>6.1870000000000003</v>
      </c>
      <c r="I31" s="10" t="s">
        <v>17</v>
      </c>
      <c r="J31" s="1">
        <v>29</v>
      </c>
      <c r="K31" t="s">
        <v>18</v>
      </c>
      <c r="L31" t="s">
        <v>19</v>
      </c>
      <c r="M31" s="11">
        <v>9.8300000000000002E-3</v>
      </c>
    </row>
    <row r="32" spans="2:13" x14ac:dyDescent="0.3">
      <c r="B32">
        <v>30</v>
      </c>
      <c r="C32" s="4">
        <v>1.238156</v>
      </c>
      <c r="D32" s="2">
        <v>7.1719999999999997</v>
      </c>
      <c r="I32" s="10" t="s">
        <v>17</v>
      </c>
      <c r="J32" s="1">
        <v>30</v>
      </c>
      <c r="K32" t="s">
        <v>18</v>
      </c>
      <c r="L32" t="s">
        <v>19</v>
      </c>
      <c r="M32" s="11">
        <v>9.8200000000000006E-3</v>
      </c>
    </row>
    <row r="33" spans="2:13" x14ac:dyDescent="0.3">
      <c r="B33">
        <v>31</v>
      </c>
      <c r="C33" s="4">
        <v>1.2382770000000001</v>
      </c>
      <c r="D33" s="2">
        <v>6.7080000000000002</v>
      </c>
      <c r="I33" s="10" t="s">
        <v>17</v>
      </c>
      <c r="J33" s="1">
        <v>31</v>
      </c>
      <c r="K33" t="s">
        <v>18</v>
      </c>
      <c r="L33" t="s">
        <v>19</v>
      </c>
      <c r="M33" s="11">
        <v>9.8340000000000007E-3</v>
      </c>
    </row>
    <row r="34" spans="2:13" x14ac:dyDescent="0.3">
      <c r="B34">
        <v>32</v>
      </c>
      <c r="C34" s="4">
        <v>1.238183</v>
      </c>
      <c r="D34" s="2">
        <v>6.4969999999999999</v>
      </c>
      <c r="I34" s="10" t="s">
        <v>17</v>
      </c>
      <c r="J34" s="1">
        <v>32</v>
      </c>
      <c r="K34" t="s">
        <v>18</v>
      </c>
      <c r="L34" t="s">
        <v>19</v>
      </c>
      <c r="M34" s="11">
        <v>9.8279999999999999E-3</v>
      </c>
    </row>
    <row r="35" spans="2:13" x14ac:dyDescent="0.3">
      <c r="B35">
        <v>33</v>
      </c>
      <c r="C35" s="4">
        <v>1.2380880000000001</v>
      </c>
      <c r="D35" s="2">
        <v>5.8029999999999999</v>
      </c>
      <c r="I35" s="10" t="s">
        <v>17</v>
      </c>
      <c r="J35" s="1">
        <v>33</v>
      </c>
      <c r="K35" t="s">
        <v>18</v>
      </c>
      <c r="L35" t="s">
        <v>19</v>
      </c>
      <c r="M35" s="11">
        <v>9.8480000000000009E-3</v>
      </c>
    </row>
    <row r="36" spans="2:13" x14ac:dyDescent="0.3">
      <c r="B36">
        <v>34</v>
      </c>
      <c r="C36" s="4">
        <v>1.2381200000000001</v>
      </c>
      <c r="D36" s="2">
        <v>6.5140000000000002</v>
      </c>
      <c r="I36" s="10" t="s">
        <v>17</v>
      </c>
      <c r="J36" s="1">
        <v>34</v>
      </c>
      <c r="K36" t="s">
        <v>18</v>
      </c>
      <c r="L36" t="s">
        <v>19</v>
      </c>
      <c r="M36" s="11">
        <v>9.8289999999999992E-3</v>
      </c>
    </row>
    <row r="37" spans="2:13" x14ac:dyDescent="0.3">
      <c r="B37">
        <v>35</v>
      </c>
      <c r="C37" s="4">
        <v>1.2380960000000001</v>
      </c>
      <c r="D37" s="2">
        <v>6.1539999999999999</v>
      </c>
      <c r="I37" s="10" t="s">
        <v>17</v>
      </c>
      <c r="J37" s="1">
        <v>35</v>
      </c>
      <c r="K37" t="s">
        <v>18</v>
      </c>
      <c r="L37" t="s">
        <v>19</v>
      </c>
      <c r="M37" s="11">
        <v>9.8320000000000005E-3</v>
      </c>
    </row>
    <row r="38" spans="2:13" x14ac:dyDescent="0.3">
      <c r="B38">
        <v>36</v>
      </c>
      <c r="C38" s="4">
        <v>1.238143</v>
      </c>
      <c r="D38" s="2">
        <v>5.6559999999999997</v>
      </c>
      <c r="I38" s="10" t="s">
        <v>17</v>
      </c>
      <c r="J38" s="1">
        <v>36</v>
      </c>
      <c r="K38" t="s">
        <v>18</v>
      </c>
      <c r="L38" t="s">
        <v>19</v>
      </c>
      <c r="M38" s="11">
        <v>9.8259999999999997E-3</v>
      </c>
    </row>
    <row r="39" spans="2:13" x14ac:dyDescent="0.3">
      <c r="B39">
        <v>37</v>
      </c>
      <c r="C39" s="4">
        <v>1.2381720000000001</v>
      </c>
      <c r="D39" s="2">
        <v>7.26</v>
      </c>
      <c r="I39" s="10" t="s">
        <v>17</v>
      </c>
      <c r="J39" s="1">
        <v>37</v>
      </c>
      <c r="K39" t="s">
        <v>18</v>
      </c>
      <c r="L39" t="s">
        <v>19</v>
      </c>
      <c r="M39" s="11">
        <v>9.8239999999999994E-3</v>
      </c>
    </row>
    <row r="40" spans="2:13" x14ac:dyDescent="0.3">
      <c r="B40">
        <v>38</v>
      </c>
      <c r="C40" s="4">
        <v>1.238002</v>
      </c>
      <c r="D40" s="2">
        <v>6.2969999999999997</v>
      </c>
      <c r="I40" s="10" t="s">
        <v>17</v>
      </c>
      <c r="J40" s="1">
        <v>38</v>
      </c>
      <c r="K40" t="s">
        <v>18</v>
      </c>
      <c r="L40" t="s">
        <v>19</v>
      </c>
      <c r="M40" s="11">
        <v>9.8379999999999995E-3</v>
      </c>
    </row>
    <row r="41" spans="2:13" x14ac:dyDescent="0.3">
      <c r="B41">
        <v>39</v>
      </c>
      <c r="C41" s="4">
        <v>1.2381690000000001</v>
      </c>
      <c r="D41" s="2">
        <v>6.4770000000000003</v>
      </c>
      <c r="I41" s="10" t="s">
        <v>17</v>
      </c>
      <c r="J41" s="1">
        <v>39</v>
      </c>
      <c r="K41" t="s">
        <v>18</v>
      </c>
      <c r="L41" t="s">
        <v>19</v>
      </c>
      <c r="M41" s="11">
        <v>9.8340000000000007E-3</v>
      </c>
    </row>
    <row r="42" spans="2:13" x14ac:dyDescent="0.3">
      <c r="B42">
        <v>40</v>
      </c>
      <c r="C42" s="4">
        <v>1.2381629999999999</v>
      </c>
      <c r="D42" s="2">
        <v>6.7279999999999998</v>
      </c>
      <c r="I42" s="10" t="s">
        <v>17</v>
      </c>
      <c r="J42" s="1">
        <v>40</v>
      </c>
      <c r="K42" t="s">
        <v>18</v>
      </c>
      <c r="L42" t="s">
        <v>19</v>
      </c>
      <c r="M42" s="11">
        <v>9.8320000000000005E-3</v>
      </c>
    </row>
  </sheetData>
  <mergeCells count="1">
    <mergeCell ref="I2:M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Taesuk Oh</dc:creator>
  <cp:lastModifiedBy>Taesuk Oh</cp:lastModifiedBy>
  <dcterms:created xsi:type="dcterms:W3CDTF">2025-10-30T04:29:29Z</dcterms:created>
  <dcterms:modified xsi:type="dcterms:W3CDTF">2025-12-29T21:48:46Z</dcterms:modified>
</cp:coreProperties>
</file>